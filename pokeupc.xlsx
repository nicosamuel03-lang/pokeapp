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C Suivi Prix 2026" sheetId="1" r:id="rId4"/>
  </sheets>
  <definedNames/>
  <calcPr/>
  <extLst>
    <ext uri="GoogleSheetsCustomDataVersion2">
      <go:sheetsCustomData xmlns:go="http://customooxmlschemas.google.com/" r:id="rId5" roundtripDataChecksum="EuhM1TJHWasvo6E+kztwtQwGupsADpOw36dA3TsCGO8="/>
    </ext>
  </extLst>
</workbook>
</file>

<file path=xl/sharedStrings.xml><?xml version="1.0" encoding="utf-8"?>
<sst xmlns="http://schemas.openxmlformats.org/spreadsheetml/2006/main" count="53" uniqueCount="47">
  <si>
    <t>📦 POKEVAULT FR — UPC Coffrets Ultra Premium · Suivi des prix mensuels 2026</t>
  </si>
  <si>
    <t>10 UPC sortis en France · Remplis les colonnes mois au fur et à mesure · Février 2026 = prix de référence actuel</t>
  </si>
  <si>
    <t>Bloc</t>
  </si>
  <si>
    <t>Code</t>
  </si>
  <si>
    <t>Nom du coffret UPC</t>
  </si>
  <si>
    <t>Date sortie FR</t>
  </si>
  <si>
    <t>UPC PVC (€)</t>
  </si>
  <si>
    <t>UPC Marché fév. 26 (€)</t>
  </si>
  <si>
    <t>Évolution %</t>
  </si>
  <si>
    <t>Janvier 2026</t>
  </si>
  <si>
    <t>Février 2026</t>
  </si>
  <si>
    <t>Mars 2026</t>
  </si>
  <si>
    <t>Avril 2026</t>
  </si>
  <si>
    <t>Mai 2026</t>
  </si>
  <si>
    <t>Juin 2026</t>
  </si>
  <si>
    <t>Juillet 2026</t>
  </si>
  <si>
    <t>Août 2026</t>
  </si>
  <si>
    <t>Septembre 2026</t>
  </si>
  <si>
    <t>Octobre 2026</t>
  </si>
  <si>
    <t>Novembre 2026</t>
  </si>
  <si>
    <t>Décembre 2026</t>
  </si>
  <si>
    <t>Épée &amp; Bouclier</t>
  </si>
  <si>
    <t>UPC01</t>
  </si>
  <si>
    <t>UPC Célébrations 25 ans</t>
  </si>
  <si>
    <t>22/10/2021</t>
  </si>
  <si>
    <t>UPC02</t>
  </si>
  <si>
    <t>UPC Dracaufeu VSTAR</t>
  </si>
  <si>
    <t>04/11/2022</t>
  </si>
  <si>
    <t>Écarlate &amp; Violet</t>
  </si>
  <si>
    <t>UPC03</t>
  </si>
  <si>
    <t>UPC Mew 151</t>
  </si>
  <si>
    <t>06/10/2023</t>
  </si>
  <si>
    <t>UPC04</t>
  </si>
  <si>
    <t>UPC Amphinobi ex</t>
  </si>
  <si>
    <t>08/11/2024</t>
  </si>
  <si>
    <t>UPC05</t>
  </si>
  <si>
    <t>UPC Terapagos ex</t>
  </si>
  <si>
    <t>UPC06</t>
  </si>
  <si>
    <t>UPC Évoli ex (Évolutions Prismatiques)</t>
  </si>
  <si>
    <t>28/03/2025</t>
  </si>
  <si>
    <t>Méga Évolution</t>
  </si>
  <si>
    <t>UPC07</t>
  </si>
  <si>
    <t>UPC Méga-Dracaufeu X ex</t>
  </si>
  <si>
    <t>14/11/2025</t>
  </si>
  <si>
    <t>UPC08</t>
  </si>
  <si>
    <t>UPC Sulfura ex Team Rocket</t>
  </si>
  <si>
    <t>19/12/2025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</si>
</sst>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666666"/>
      <name val="Arial"/>
    </font>
    <font>
      <b/>
      <sz val="9.0"/>
      <color rgb="FFFFFFFF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C89B3C"/>
        <bgColor rgb="FFC89B3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left" readingOrder="0" vertical="center"/>
    </xf>
    <xf borderId="4" fillId="5" fontId="5" numFmtId="0" xfId="0" applyAlignment="1" applyBorder="1" applyFont="1">
      <alignment horizontal="center" readingOrder="0" vertical="center"/>
    </xf>
    <xf borderId="4" fillId="5" fontId="5" numFmtId="10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horizontal="center" readingOrder="0" vertical="center"/>
    </xf>
    <xf borderId="4" fillId="4" fontId="5" numFmtId="10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8.0"/>
    <col customWidth="1" min="2" max="2" width="7.0"/>
    <col customWidth="1" min="3" max="3" width="45.0"/>
    <col customWidth="1" min="4" max="4" width="13.0"/>
    <col customWidth="1" min="5" max="5" width="12.0"/>
    <col customWidth="1" min="6" max="6" width="18.0"/>
    <col customWidth="1" min="7" max="9" width="11.0"/>
    <col customWidth="1" min="10" max="13" width="10.0"/>
    <col customWidth="1" min="14" max="14" width="11.0"/>
    <col customWidth="1" min="15" max="15" width="10.0"/>
    <col customWidth="1" min="16" max="16" width="13.0"/>
    <col customWidth="1" min="17" max="17" width="11.0"/>
    <col customWidth="1" min="18" max="19" width="12.0"/>
    <col customWidth="1" min="20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5.75" customHeight="1">
      <c r="A2" s="4" t="s">
        <v>1</v>
      </c>
    </row>
    <row r="3" ht="6.0" customHeight="1"/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</row>
    <row r="5" ht="21.75" customHeight="1">
      <c r="A5" s="6" t="s">
        <v>21</v>
      </c>
      <c r="B5" s="7" t="s">
        <v>22</v>
      </c>
      <c r="C5" s="8" t="s">
        <v>23</v>
      </c>
      <c r="D5" s="7" t="s">
        <v>24</v>
      </c>
      <c r="E5" s="7">
        <v>129.99</v>
      </c>
      <c r="F5" s="9">
        <v>1000.0</v>
      </c>
      <c r="G5" s="10">
        <f t="shared" ref="G5:G6" si="1">IFERROR((F5-E5)/E5,"")</f>
        <v>6.692899454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ht="21.75" customHeight="1">
      <c r="A6" s="6" t="s">
        <v>21</v>
      </c>
      <c r="B6" s="6" t="s">
        <v>25</v>
      </c>
      <c r="C6" s="11" t="s">
        <v>26</v>
      </c>
      <c r="D6" s="6" t="s">
        <v>27</v>
      </c>
      <c r="E6" s="6">
        <v>129.99</v>
      </c>
      <c r="F6" s="12">
        <v>500.0</v>
      </c>
      <c r="G6" s="13">
        <f t="shared" si="1"/>
        <v>2.846449727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ht="21.75" customHeight="1">
      <c r="A7" s="6" t="s">
        <v>28</v>
      </c>
      <c r="B7" s="6" t="s">
        <v>29</v>
      </c>
      <c r="C7" s="11" t="s">
        <v>30</v>
      </c>
      <c r="D7" s="6" t="s">
        <v>31</v>
      </c>
      <c r="E7" s="6">
        <v>149.99</v>
      </c>
      <c r="F7" s="12">
        <v>400.0</v>
      </c>
      <c r="G7" s="13">
        <f t="shared" ref="G7:G13" si="2">IFERROR((F8-E8)/E8,"")</f>
        <v>0.3334222281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ht="21.75" customHeight="1">
      <c r="A8" s="7" t="s">
        <v>28</v>
      </c>
      <c r="B8" s="7" t="s">
        <v>32</v>
      </c>
      <c r="C8" s="8" t="s">
        <v>33</v>
      </c>
      <c r="D8" s="7" t="s">
        <v>34</v>
      </c>
      <c r="E8" s="7">
        <v>149.99</v>
      </c>
      <c r="F8" s="9">
        <v>200.0</v>
      </c>
      <c r="G8" s="10">
        <f t="shared" si="2"/>
        <v>0.3334222281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ht="21.75" customHeight="1">
      <c r="A9" s="6" t="s">
        <v>28</v>
      </c>
      <c r="B9" s="6" t="s">
        <v>35</v>
      </c>
      <c r="C9" s="11" t="s">
        <v>36</v>
      </c>
      <c r="D9" s="6" t="s">
        <v>34</v>
      </c>
      <c r="E9" s="6">
        <v>149.99</v>
      </c>
      <c r="F9" s="12">
        <v>200.0</v>
      </c>
      <c r="G9" s="13">
        <f t="shared" si="2"/>
        <v>0.8752344043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ht="21.75" customHeight="1">
      <c r="A10" s="7" t="s">
        <v>28</v>
      </c>
      <c r="B10" s="7" t="s">
        <v>37</v>
      </c>
      <c r="C10" s="8" t="s">
        <v>38</v>
      </c>
      <c r="D10" s="7" t="s">
        <v>39</v>
      </c>
      <c r="E10" s="7">
        <v>79.99</v>
      </c>
      <c r="F10" s="9">
        <v>150.0</v>
      </c>
      <c r="G10" s="10">
        <f t="shared" si="2"/>
        <v>0.1250703169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ht="21.75" customHeight="1">
      <c r="A11" s="6" t="s">
        <v>40</v>
      </c>
      <c r="B11" s="6" t="s">
        <v>41</v>
      </c>
      <c r="C11" s="11" t="s">
        <v>42</v>
      </c>
      <c r="D11" s="6" t="s">
        <v>43</v>
      </c>
      <c r="E11" s="6">
        <v>159.99</v>
      </c>
      <c r="F11" s="12">
        <v>180.0</v>
      </c>
      <c r="G11" s="13">
        <f t="shared" si="2"/>
        <v>0.2500781299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ht="21.75" customHeight="1">
      <c r="A12" s="7" t="s">
        <v>40</v>
      </c>
      <c r="B12" s="7" t="s">
        <v>44</v>
      </c>
      <c r="C12" s="8" t="s">
        <v>45</v>
      </c>
      <c r="D12" s="7" t="s">
        <v>46</v>
      </c>
      <c r="E12" s="7">
        <v>159.99</v>
      </c>
      <c r="F12" s="9">
        <v>200.0</v>
      </c>
      <c r="G12" s="10" t="str">
        <f t="shared" si="2"/>
        <v/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ht="21.75" customHeight="1">
      <c r="A13" s="6"/>
      <c r="B13" s="6"/>
      <c r="C13" s="14"/>
      <c r="D13" s="6"/>
      <c r="E13" s="6"/>
      <c r="F13" s="6"/>
      <c r="G13" s="13" t="str">
        <f t="shared" si="2"/>
        <v/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2026-03-06T22:27:39Z</dcterms:created>
  <dc:creator>openpyxl</dc:creator>
</cp:coreProperties>
</file>