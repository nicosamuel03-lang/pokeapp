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📦 Display Historique 2026" sheetId="1" r:id="rId4"/>
  </sheets>
  <definedNames>
    <definedName hidden="1" localSheetId="0" name="_xlnm._FilterDatabase">'📦 Display Historique 2026'!$A$4:$G$4</definedName>
  </definedNames>
  <calcPr/>
  <extLst>
    <ext uri="GoogleSheetsCustomDataVersion2">
      <go:sheetsCustomData xmlns:go="http://customooxmlschemas.google.com/" r:id="rId5" roundtripDataChecksum="SqxOJIsd8+mGszXz0+6Qik4j63G1s9bln5cNMNi7K8c="/>
    </ext>
  </extLst>
</workbook>
</file>

<file path=xl/sharedStrings.xml><?xml version="1.0" encoding="utf-8"?>
<sst xmlns="http://schemas.openxmlformats.org/spreadsheetml/2006/main" count="335" uniqueCount="220">
  <si>
    <t>📦 POKEVAULT FR — Displays 36 Boosters · Suivi des prix mensuels 2026</t>
  </si>
  <si>
    <t>25 extensions avec display · Remplis les colonnes mois au fur et à mesure · Février 2026 = prix de référence actuel</t>
  </si>
  <si>
    <t>Bloc</t>
  </si>
  <si>
    <t>Code</t>
  </si>
  <si>
    <t>Nom de l'extension</t>
  </si>
  <si>
    <t>Date sortie FR</t>
  </si>
  <si>
    <t>Display PVC (€)</t>
  </si>
  <si>
    <t>Display Marché fév. 26 (€)</t>
  </si>
  <si>
    <t>Évolution %</t>
  </si>
  <si>
    <t>Janvier 2026</t>
  </si>
  <si>
    <t>Février 2026</t>
  </si>
  <si>
    <t>Mars 2026</t>
  </si>
  <si>
    <t>Avril 2026</t>
  </si>
  <si>
    <t>Mai 2026</t>
  </si>
  <si>
    <t>Juin 2026</t>
  </si>
  <si>
    <t>Juillet 2026</t>
  </si>
  <si>
    <t>Août 2026</t>
  </si>
  <si>
    <t>Septembre 2026</t>
  </si>
  <si>
    <t>Octobre 2026</t>
  </si>
  <si>
    <t>Novembre 2026</t>
  </si>
  <si>
    <t>Décembre 2026</t>
  </si>
  <si>
    <t>image produit</t>
  </si>
  <si>
    <t>Épée &amp; Bouclier</t>
  </si>
  <si>
    <t>EB01</t>
  </si>
  <si>
    <t>Épée et Bouclier</t>
  </si>
  <si>
    <t>07/02/2020</t>
  </si>
  <si>
    <t>-</t>
  </si>
  <si>
    <t>https://www.pokemonde.fr/709-large_default/display-pokemon-eb01-epee-et-bouclier.jpg</t>
  </si>
  <si>
    <t>EB02</t>
  </si>
  <si>
    <t>Clash des Rebelles</t>
  </si>
  <si>
    <t>01/05/2020</t>
  </si>
  <si>
    <t>https://www.dracaugames.com/cdn/shop/files/2700_94e805c9-410b-4beb-a56d-8bdda62773d7.jpg?v=1750679921&amp;width=1214</t>
  </si>
  <si>
    <t>EB03</t>
  </si>
  <si>
    <t>Ténèbres Embrasées</t>
  </si>
  <si>
    <t>14/08/2020</t>
  </si>
  <si>
    <t>https://snooop.gg/cdn/shop/files/pokemon-display-36-tenebres-embrasees.png?v=1748445290&amp;width=2400</t>
  </si>
  <si>
    <t>EB04</t>
  </si>
  <si>
    <t>Voltage Éclatant</t>
  </si>
  <si>
    <t>13/11/2020</t>
  </si>
  <si>
    <t>https://static.pkmcards.fr/products/fr/displays/image-cartes-a-collectionner-pokemon-card-game-tcg-pkmcards-boite-36-boosters-epee-et-bouclier-voltage-eclatant.webp</t>
  </si>
  <si>
    <t>EB05</t>
  </si>
  <si>
    <t>Styles de Combat</t>
  </si>
  <si>
    <t>19/03/2021</t>
  </si>
  <si>
    <t>https://static.pkmcards.fr/products/fr/displays/image-cartes-a-collectionner-pokemon-card-game-tcg-pkmcards-boite-36-boosters-epee-et-bouclier-styles-de-combat.webp</t>
  </si>
  <si>
    <t>EB06</t>
  </si>
  <si>
    <t>Règne de Glace</t>
  </si>
  <si>
    <t>18/06/2021</t>
  </si>
  <si>
    <t>https://static.pkmcards.fr/products/fr/displays/image-cartes-a-collectionner-pokemon-card-game-tcg-pkmcards-boite-36-boosters-epee-et-bouclier-regne-de-glace.webp</t>
  </si>
  <si>
    <t>EB07</t>
  </si>
  <si>
    <t>Évolution Céleste</t>
  </si>
  <si>
    <t>27/08/2021</t>
  </si>
  <si>
    <t>https://static.pkmcards.fr/products/fr/displays/image-cartes-a-collectionner-pokemon-card-game-tcg-pkmcards-boite-36-boosters-epee-et-bouclier-evolution-celeste.webp</t>
  </si>
  <si>
    <t>EB08</t>
  </si>
  <si>
    <t>Poing de Fusion</t>
  </si>
  <si>
    <t>26/11/2021</t>
  </si>
  <si>
    <t>https://static.pkmcards.fr/products/fr/displays/image-cartes-a-collectionner-pokemon-card-game-tcg-pkmcards-boite-36-boosters-epee-et-bouclier-poing-de-fusion.webp</t>
  </si>
  <si>
    <t>EB09</t>
  </si>
  <si>
    <t>Stars Étincelantes</t>
  </si>
  <si>
    <t>25/02/2022</t>
  </si>
  <si>
    <t>https://static.pkmcards.fr/products/fr/displays/image-cartes-a-collectionner-pokemon-card-game-tcg-pkmcards-boite-36-boosters-epee-et-bouclier-stars-etincelantes.webp</t>
  </si>
  <si>
    <t>EB10</t>
  </si>
  <si>
    <t>Astres Radieux</t>
  </si>
  <si>
    <t>27/05/2022</t>
  </si>
  <si>
    <t>https://static.pkmcards.fr/products/fr/displays/image-cartes-a-collectionner-pokemon-card-game-tcg-pkmcards-boite-36-boosters-epee-et-bouclier-astres-radieux.webp</t>
  </si>
  <si>
    <t>EB11</t>
  </si>
  <si>
    <t>Origine Perdue</t>
  </si>
  <si>
    <t>09/09/2022</t>
  </si>
  <si>
    <t>https://static.pkmcards.fr/products/fr/displays/image-cartes-a-collectionner-pokemon-card-game-tcg-pkmcards-boite-36-boosters-epee-et-bouclier-origine-perdue.webp</t>
  </si>
  <si>
    <t>EB12</t>
  </si>
  <si>
    <t>Tempête Argentée</t>
  </si>
  <si>
    <t>11/11/2022</t>
  </si>
  <si>
    <t>https://static.pkmcards.fr/products/fr/displays/image-cartes-a-collectionner-pokemon-card-game-tcg-pkmcards-boite-36-boosters-tempete-argentee.webp</t>
  </si>
  <si>
    <t>Écarlate &amp; Violet</t>
  </si>
  <si>
    <t>EV01</t>
  </si>
  <si>
    <t>Écarlate et Violet</t>
  </si>
  <si>
    <t>31/03/2023</t>
  </si>
  <si>
    <t>https://static.pkmcards.fr/products/fr/displays/image-cartes-a-collectionner-pokemon-card-game-tcg-pkmcards-boite-36-boosters-sv01-ecarlate-et-violet.webp</t>
  </si>
  <si>
    <t>EV02</t>
  </si>
  <si>
    <t>Évolutions à Paldéa</t>
  </si>
  <si>
    <t>09/06/2023</t>
  </si>
  <si>
    <t>https://static.pkmcards.fr/products/fr/displays/image-cartes-a-collectionner-pokemon-card-game-tcg-pkmcards-boite-36-boosters-pal-ecarlate-et-violet-evolutions-a-paldea.webp</t>
  </si>
  <si>
    <t>EV03</t>
  </si>
  <si>
    <t>Flammes Obsidiennes</t>
  </si>
  <si>
    <t>11/08/2023</t>
  </si>
  <si>
    <t>https://static.pkmcards.fr/products/fr/displays/image-cartes-a-collectionner-pokemon-card-game-tcg-pkmcards-boite-36-boosters-flammes-obsidiennes.webp</t>
  </si>
  <si>
    <t>EV04</t>
  </si>
  <si>
    <t>Faille Paradoxe</t>
  </si>
  <si>
    <t>03/11/2023</t>
  </si>
  <si>
    <t>https://static.pkmcards.fr/products/fr/displays/image-cartes-a-collectionner-pokemon-card-game-tcg-pkmcards-boite-36-boosters-par-ecarlate-et-violet-faille-paradoxe.webp</t>
  </si>
  <si>
    <t>EV05</t>
  </si>
  <si>
    <t>Forces Temporelles</t>
  </si>
  <si>
    <t>22/03/2024</t>
  </si>
  <si>
    <t>https://static.pkmcards.fr/products/fr/displays/image-cartes-a-collectionner-pokemon-card-game-tcg-pkmcards-boite-36-boosters-forces-temporelles.webp</t>
  </si>
  <si>
    <t>EV06</t>
  </si>
  <si>
    <t>Mascarade Crépusculaire</t>
  </si>
  <si>
    <t>24/05/2024</t>
  </si>
  <si>
    <t>https://static.pkmcards.fr/products/fr/displays/image-cartes-a-collectionner-pokemon-card-game-tcg-pkmcards-boite-36-boosters-mascarade-crepusculaire.webp</t>
  </si>
  <si>
    <t>EV07</t>
  </si>
  <si>
    <t>Couronne Stellaire</t>
  </si>
  <si>
    <t>13/09/2024</t>
  </si>
  <si>
    <t>https://static.pkmcards.fr/products/fr/displays/image-cartes-a-collectionner-pokemon-card-game-tcg-pkmcards-boite-36-boosters-ecarlate-et-violet-couronne-stellaire.webp</t>
  </si>
  <si>
    <t>EV08</t>
  </si>
  <si>
    <t>Étincelles Déferlantes</t>
  </si>
  <si>
    <t>08/11/2024</t>
  </si>
  <si>
    <t>https://static.pkmcards.fr/products/fr/displays/image-cartes-a-collectionner-pokemon-card-game-tcg-pkmcards-boite-36-boosters-ecarlate-et-violet-etincelles-deferlantes.webp</t>
  </si>
  <si>
    <t>EV09</t>
  </si>
  <si>
    <t>Aventure Ensemble</t>
  </si>
  <si>
    <t>28/03/2025</t>
  </si>
  <si>
    <t>https://mrjoshop.com/products/display-ev09-aventure-ensemble?srsltid=AfmBOor2Q95qrCvmzb4CaDAi3mTsQfHm81bxbE7efw9cvTvs9x8KQpBL</t>
  </si>
  <si>
    <t>EV10</t>
  </si>
  <si>
    <t>Rivalités Destinées</t>
  </si>
  <si>
    <t>30/05/2025</t>
  </si>
  <si>
    <t>n/a</t>
  </si>
  <si>
    <t>https://mrjoshop.com/cdn/shop/files/Display-RivalitesDestineesEV10.webp?v=1742891697&amp;width=400</t>
  </si>
  <si>
    <t>Méga Évolution</t>
  </si>
  <si>
    <t>ME01</t>
  </si>
  <si>
    <t>26/09/2025</t>
  </si>
  <si>
    <t>https://static.pkmcards.fr/products/fr/displays/image-cartes-a-collectionner-pokemon-card-game-tcg-pkmcards-boite-36-boosters-me01-mega-evolution.webp</t>
  </si>
  <si>
    <t>ME02</t>
  </si>
  <si>
    <t>Flammes Fantasmagoriques</t>
  </si>
  <si>
    <t>14/11/2025</t>
  </si>
  <si>
    <t>https://mrjoshop.com/cdn/shop/files/PokemonME02-DisplayBoosterFlammesFantasmagoriques_322f7a36-9ef1-4075-a40a-c3b7e02b2325.webp?v=1763038084</t>
  </si>
  <si>
    <t>ME03</t>
  </si>
  <si>
    <t>Tempête Émeraude</t>
  </si>
  <si>
    <t>03/2026</t>
  </si>
  <si>
    <t>Extension (Code)</t>
  </si>
  <si>
    <t>Nom de l'Extension</t>
  </si>
  <si>
    <t>Prix Constaté (Mai 2025)</t>
  </si>
  <si>
    <t>Note Stratégique de la Vidéo</t>
  </si>
  <si>
    <t>Timestamp</t>
  </si>
  <si>
    <t>EV1</t>
  </si>
  <si>
    <t>Écarlate et Violet (Base)</t>
  </si>
  <si>
    <t>Prix stable, série fondatrice des AR/SAR.</t>
  </si>
  <si>
    <t>Octobre 2024 (€)</t>
  </si>
  <si>
    <t>Octobre 2025 (€)</t>
  </si>
  <si>
    <t>Évolution Annuelle</t>
  </si>
  <si>
    <t>EV2</t>
  </si>
  <si>
    <t>Série sous-côtée, gros potentiel (Magicarpe AR).</t>
  </si>
  <si>
    <t>Épée et Bouclier (Base)</t>
  </si>
  <si>
    <t>1 100 €</t>
  </si>
  <si>
    <t>EV3</t>
  </si>
  <si>
    <t>Surévaluée, Kiraah déconseille l'achat à ce prix.</t>
  </si>
  <si>
    <t>Clash des Rebelles (EB2)</t>
  </si>
  <si>
    <t>EV4</t>
  </si>
  <si>
    <t>220 € - 230 €</t>
  </si>
  <si>
    <t>Baisse des taux de drop sur les SAR.</t>
  </si>
  <si>
    <t>Ténèbres Embrasées (EB3)</t>
  </si>
  <si>
    <t>2 000 €</t>
  </si>
  <si>
    <t>EV5</t>
  </si>
  <si>
    <t>Potentiel inexploité, visuels très forts.</t>
  </si>
  <si>
    <t>La Voie du Maître (EB3.5)</t>
  </si>
  <si>
    <t>EV6</t>
  </si>
  <si>
    <t>Remonte grâce au prix de l'Amphinobi SAR.</t>
  </si>
  <si>
    <t>Voltage Éclatant (EB4)</t>
  </si>
  <si>
    <t>1 500 €</t>
  </si>
  <si>
    <t>EV7</t>
  </si>
  <si>
    <t>À négocier vers 180€ si possible.</t>
  </si>
  <si>
    <t>Destinée Radieuse (EB4.5)</t>
  </si>
  <si>
    <t>EV8</t>
  </si>
  <si>
    <t>Le "Évolution Céleste" du bloc, à surveiller.</t>
  </si>
  <si>
    <t>Style de Combat (EB5)</t>
  </si>
  <si>
    <t>EV9</t>
  </si>
  <si>
    <t>Aventures Ensemble</t>
  </si>
  <si>
    <t>Succès lié aux dresseurs cultes (N, Lilie).</t>
  </si>
  <si>
    <t>Reine de Glace (EB6)</t>
  </si>
  <si>
    <t>Prix de précommande (Hype Team Rocket).</t>
  </si>
  <si>
    <t>Évolution Céleste (EB7)</t>
  </si>
  <si>
    <t>Célébrations (25 ans)</t>
  </si>
  <si>
    <t>Poing de Fusion (EB8)</t>
  </si>
  <si>
    <t>Stars Étincelantes (EB9)</t>
  </si>
  <si>
    <t>Astres Radieux (EB10)</t>
  </si>
  <si>
    <t>Pokémon GO (EB10.5)</t>
  </si>
  <si>
    <t>Date de Sortie</t>
  </si>
  <si>
    <t>Meilleure Carte (Prix approx.)</t>
  </si>
  <si>
    <t>Prix Display (36 boost.)</t>
  </si>
  <si>
    <t>Ratio Carte/Boîte</t>
  </si>
  <si>
    <t>Origine Perdue (EB11)</t>
  </si>
  <si>
    <t>Prix Mai 2025 (Kiraah)</t>
  </si>
  <si>
    <t>Prix Août 2025 (Pyrokards)</t>
  </si>
  <si>
    <t>Évolution</t>
  </si>
  <si>
    <t>État du Marché (Août)</t>
  </si>
  <si>
    <t>Lugia Alt (~350€)</t>
  </si>
  <si>
    <t>Tempête Argentée (EB12)</t>
  </si>
  <si>
    <t>➡️ Stable</t>
  </si>
  <si>
    <t>Prix d'entrée solide</t>
  </si>
  <si>
    <t>Giratina Alt (~600€)</t>
  </si>
  <si>
    <t>Zénith Suprême (EB12.5)</t>
  </si>
  <si>
    <t>📈 +10€</t>
  </si>
  <si>
    <t>Trop d'offres / Peu de demande</t>
  </si>
  <si>
    <t>Macogneur Alt (~100€)</t>
  </si>
  <si>
    <t>📉 -50€</t>
  </si>
  <si>
    <t>Correction (Dracaufeu long terme)</t>
  </si>
  <si>
    <t>Dracaufeu Alt (~200€)</t>
  </si>
  <si>
    <t>🚀 +95€</t>
  </si>
  <si>
    <t>Prix aberrant (Trop cher)</t>
  </si>
  <si>
    <t>Ectoplasma VMAX Alt (~400€)</t>
  </si>
  <si>
    <t>Ne devrait pas baisser plus</t>
  </si>
  <si>
    <t>Noctali VMAX Alt (~1000€)</t>
  </si>
  <si>
    <t>1 000 €</t>
  </si>
  <si>
    <t>📈 +25€</t>
  </si>
  <si>
    <t>Très peu de demande</t>
  </si>
  <si>
    <t>Reine de Glace</t>
  </si>
  <si>
    <t>Zeraora Alt (~370€)</t>
  </si>
  <si>
    <t>📈 +30€</t>
  </si>
  <si>
    <t>Peu de demande actuelle</t>
  </si>
  <si>
    <t>Style de Combat</t>
  </si>
  <si>
    <t>Tyranocif Alt (~130€)</t>
  </si>
  <si>
    <t>Valeur sûre (Post-restock)</t>
  </si>
  <si>
    <t>Pikachu VMAX Rainbow (~300€)</t>
  </si>
  <si>
    <t>1 200 €</t>
  </si>
  <si>
    <t>📉 -21€</t>
  </si>
  <si>
    <t>Prix attractif (Promo privilégié)</t>
  </si>
  <si>
    <t>Dracaufeu VMAX (~45€)</t>
  </si>
  <si>
    <t>1 800 €</t>
  </si>
  <si>
    <t>📈 +58€</t>
  </si>
  <si>
    <t>Le Top Investissement</t>
  </si>
  <si>
    <t>Ordre du Boss FA (~50€)</t>
  </si>
  <si>
    <t>3 000 €</t>
  </si>
  <si>
    <t>Zacian Gold (~80€)</t>
  </si>
  <si>
    <t>1 400 €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</si>
</sst>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#,##0 &quot;€&quot;"/>
    <numFmt numFmtId="166" formatCode="+0.0%;-0.0%"/>
    <numFmt numFmtId="167" formatCode="#,##0&quot;€&quot;"/>
    <numFmt numFmtId="168" formatCode="d/m/yyyy"/>
    <numFmt numFmtId="169" formatCode="#,##0.00&quot;€&quot;"/>
    <numFmt numFmtId="170" formatCode="dd/mm/yyyy"/>
  </numFmts>
  <fonts count="23">
    <font>
      <sz val="11.0"/>
      <color theme="1"/>
      <name val="Calibri"/>
      <scheme val="minor"/>
    </font>
    <font>
      <b/>
      <sz val="13.0"/>
      <color rgb="FFF87171"/>
      <name val="Arial"/>
    </font>
    <font/>
    <font>
      <sz val="11.0"/>
      <color theme="1"/>
      <name val="Calibri"/>
    </font>
    <font>
      <sz val="9.0"/>
      <color rgb="FF6B7FA8"/>
      <name val="Arial"/>
    </font>
    <font>
      <b/>
      <sz val="10.0"/>
      <color rgb="FFF87171"/>
      <name val="Arial"/>
    </font>
    <font>
      <b/>
      <sz val="9.0"/>
      <color rgb="FFF0F4FF"/>
      <name val="Arial"/>
    </font>
    <font>
      <b/>
      <sz val="9.0"/>
      <color rgb="FFFFFFFF"/>
      <name val="Arial"/>
    </font>
    <font>
      <b/>
      <sz val="9.0"/>
      <color rgb="FFF0C040"/>
      <name val="Arial"/>
    </font>
    <font>
      <color theme="1"/>
      <name val="Calibri"/>
    </font>
    <font>
      <b/>
      <sz val="9.0"/>
      <color rgb="FF60A5FA"/>
      <name val="Arial"/>
    </font>
    <font>
      <b/>
      <sz val="9.0"/>
      <color rgb="FF6B7FA8"/>
      <name val="Arial"/>
    </font>
    <font>
      <b/>
      <sz val="10.0"/>
      <color rgb="FFF0F4FF"/>
      <name val="Arial"/>
    </font>
    <font>
      <b/>
      <sz val="11.0"/>
      <color rgb="FFF0C040"/>
      <name val="Arial"/>
    </font>
    <font>
      <b/>
      <sz val="10.0"/>
      <color rgb="FF34D399"/>
      <name val="Arial"/>
    </font>
    <font>
      <sz val="13.0"/>
      <color rgb="FFFFFFFF"/>
      <name val="Calibri"/>
    </font>
    <font>
      <sz val="13.0"/>
      <color rgb="FFFFFFFF"/>
      <name val="Arial"/>
    </font>
    <font>
      <b/>
      <sz val="13.0"/>
      <color rgb="FFF0C040"/>
      <name val="Calibri"/>
    </font>
    <font>
      <u/>
      <color rgb="FF0000FF"/>
      <name val="Calibri"/>
      <scheme val="minor"/>
    </font>
    <font>
      <b/>
      <sz val="9.0"/>
      <color rgb="FF34D399"/>
      <name val="Arial"/>
    </font>
    <font>
      <b/>
      <sz val="9.0"/>
      <color rgb="FFC084FC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060A12"/>
        <bgColor rgb="FF060A12"/>
      </patternFill>
    </fill>
    <fill>
      <patternFill patternType="solid">
        <fgColor rgb="FF3A1A1A"/>
        <bgColor rgb="FF3A1A1A"/>
      </patternFill>
    </fill>
    <fill>
      <patternFill patternType="solid">
        <fgColor rgb="FF1A2840"/>
        <bgColor rgb="FF1A2840"/>
      </patternFill>
    </fill>
    <fill>
      <patternFill patternType="solid">
        <fgColor rgb="FF0E1B30"/>
        <bgColor rgb="FF0E1B30"/>
      </patternFill>
    </fill>
    <fill>
      <patternFill patternType="solid">
        <fgColor rgb="FF0C1525"/>
        <bgColor rgb="FF0C1525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</border>
    <border>
      <left style="thin">
        <color rgb="FF1E3A5F"/>
      </left>
      <top style="thin">
        <color rgb="FF1E3A5F"/>
      </top>
      <bottom style="thin">
        <color rgb="FF1E3A5F"/>
      </bottom>
    </border>
    <border>
      <left style="thin">
        <color rgb="FF1E3A5F"/>
      </left>
      <right style="thin">
        <color rgb="FF1E3A5F"/>
      </right>
      <top style="thin">
        <color rgb="FF1E3A5F"/>
      </top>
    </border>
    <border>
      <right style="thin">
        <color rgb="FF1E3A5F"/>
      </right>
      <top style="thin">
        <color rgb="FF1E3A5F"/>
      </top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4F81BD"/>
      </left>
      <right style="thin">
        <color rgb="FF4F81BD"/>
      </right>
      <top style="thin">
        <color rgb="FF4F81BD"/>
      </top>
    </border>
    <border>
      <left style="thin">
        <color rgb="FF4F81BD"/>
      </left>
      <top style="thin">
        <color rgb="FF4F81BD"/>
      </top>
      <bottom style="thin">
        <color rgb="FF4F81BD"/>
      </bottom>
    </border>
    <border>
      <left style="thin">
        <color rgb="FF4F81BD"/>
      </left>
      <right style="thin">
        <color rgb="FF4F81BD"/>
      </right>
      <bottom style="thin">
        <color rgb="FF4F81BD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 shrinkToFit="0" vertical="center" wrapText="1"/>
    </xf>
    <xf borderId="4" fillId="2" fontId="3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5" fillId="4" fontId="6" numFmtId="164" xfId="0" applyAlignment="1" applyBorder="1" applyFill="1" applyFont="1" applyNumberFormat="1">
      <alignment horizontal="center" readingOrder="0" shrinkToFit="0" vertical="center" wrapText="1"/>
    </xf>
    <xf borderId="7" fillId="4" fontId="6" numFmtId="164" xfId="0" applyAlignment="1" applyBorder="1" applyFont="1" applyNumberFormat="1">
      <alignment horizontal="center" readingOrder="0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0" fillId="0" fontId="9" numFmtId="0" xfId="0" applyFont="1"/>
    <xf borderId="5" fillId="5" fontId="10" numFmtId="0" xfId="0" applyAlignment="1" applyBorder="1" applyFill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left" vertical="center"/>
    </xf>
    <xf borderId="5" fillId="5" fontId="4" numFmtId="0" xfId="0" applyAlignment="1" applyBorder="1" applyFont="1">
      <alignment horizontal="center" shrinkToFit="0" vertical="center" wrapText="1"/>
    </xf>
    <xf borderId="5" fillId="5" fontId="4" numFmtId="165" xfId="0" applyAlignment="1" applyBorder="1" applyFont="1" applyNumberFormat="1">
      <alignment horizontal="center" shrinkToFit="0" vertical="center" wrapText="1"/>
    </xf>
    <xf borderId="5" fillId="5" fontId="13" numFmtId="165" xfId="0" applyAlignment="1" applyBorder="1" applyFont="1" applyNumberFormat="1">
      <alignment horizontal="center" shrinkToFit="0" vertical="center" wrapText="1"/>
    </xf>
    <xf borderId="6" fillId="5" fontId="14" numFmtId="166" xfId="0" applyAlignment="1" applyBorder="1" applyFont="1" applyNumberFormat="1">
      <alignment horizontal="center" shrinkToFit="0" vertical="center" wrapText="1"/>
    </xf>
    <xf borderId="9" fillId="4" fontId="15" numFmtId="0" xfId="0" applyAlignment="1" applyBorder="1" applyFont="1">
      <alignment horizontal="center" readingOrder="0"/>
    </xf>
    <xf borderId="10" fillId="4" fontId="15" numFmtId="0" xfId="0" applyAlignment="1" applyBorder="1" applyFont="1">
      <alignment horizontal="center" readingOrder="0"/>
    </xf>
    <xf borderId="0" fillId="4" fontId="15" numFmtId="3" xfId="0" applyAlignment="1" applyFont="1" applyNumberFormat="1">
      <alignment horizontal="center" readingOrder="0"/>
    </xf>
    <xf borderId="11" fillId="4" fontId="15" numFmtId="3" xfId="0" applyAlignment="1" applyBorder="1" applyFont="1" applyNumberFormat="1">
      <alignment horizontal="center" readingOrder="0"/>
    </xf>
    <xf borderId="9" fillId="4" fontId="15" numFmtId="3" xfId="0" applyAlignment="1" applyBorder="1" applyFont="1" applyNumberFormat="1">
      <alignment horizontal="center" readingOrder="0" shrinkToFit="0" vertical="center" wrapText="1"/>
    </xf>
    <xf borderId="9" fillId="4" fontId="16" numFmtId="3" xfId="0" applyAlignment="1" applyBorder="1" applyFont="1" applyNumberFormat="1">
      <alignment horizontal="center" readingOrder="0" shrinkToFit="0" vertical="center" wrapText="1"/>
    </xf>
    <xf borderId="9" fillId="4" fontId="17" numFmtId="3" xfId="0" applyAlignment="1" applyBorder="1" applyFont="1" applyNumberFormat="1">
      <alignment horizontal="center" readingOrder="0" shrinkToFit="0" vertical="center" wrapText="1"/>
    </xf>
    <xf borderId="9" fillId="4" fontId="4" numFmtId="165" xfId="0" applyAlignment="1" applyBorder="1" applyFont="1" applyNumberFormat="1">
      <alignment horizontal="center" shrinkToFit="0" vertical="center" wrapText="1"/>
    </xf>
    <xf borderId="0" fillId="0" fontId="18" numFmtId="0" xfId="0" applyFont="1"/>
    <xf borderId="5" fillId="6" fontId="10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left" vertical="center"/>
    </xf>
    <xf borderId="5" fillId="6" fontId="4" numFmtId="0" xfId="0" applyAlignment="1" applyBorder="1" applyFont="1">
      <alignment horizontal="center" shrinkToFit="0" vertical="center" wrapText="1"/>
    </xf>
    <xf borderId="5" fillId="6" fontId="4" numFmtId="165" xfId="0" applyAlignment="1" applyBorder="1" applyFont="1" applyNumberFormat="1">
      <alignment horizontal="center" shrinkToFit="0" vertical="center" wrapText="1"/>
    </xf>
    <xf borderId="5" fillId="6" fontId="13" numFmtId="165" xfId="0" applyAlignment="1" applyBorder="1" applyFont="1" applyNumberFormat="1">
      <alignment horizontal="center" shrinkToFit="0" vertical="center" wrapText="1"/>
    </xf>
    <xf borderId="6" fillId="6" fontId="14" numFmtId="166" xfId="0" applyAlignment="1" applyBorder="1" applyFont="1" applyNumberFormat="1">
      <alignment horizontal="center" shrinkToFit="0" vertical="center" wrapText="1"/>
    </xf>
    <xf borderId="9" fillId="4" fontId="15" numFmtId="3" xfId="0" applyAlignment="1" applyBorder="1" applyFont="1" applyNumberFormat="1">
      <alignment horizontal="center" readingOrder="0"/>
    </xf>
    <xf borderId="9" fillId="4" fontId="17" numFmtId="3" xfId="0" applyAlignment="1" applyBorder="1" applyFont="1" applyNumberFormat="1">
      <alignment horizontal="center" shrinkToFit="0" vertical="center" wrapText="1"/>
    </xf>
    <xf borderId="9" fillId="4" fontId="15" numFmtId="3" xfId="0" applyAlignment="1" applyBorder="1" applyFont="1" applyNumberFormat="1">
      <alignment horizontal="center" shrinkToFit="0" vertical="center" wrapText="1"/>
    </xf>
    <xf borderId="10" fillId="4" fontId="15" numFmtId="3" xfId="0" applyAlignment="1" applyBorder="1" applyFont="1" applyNumberFormat="1">
      <alignment horizontal="center" readingOrder="0"/>
    </xf>
    <xf borderId="5" fillId="5" fontId="19" numFmtId="0" xfId="0" applyAlignment="1" applyBorder="1" applyFont="1">
      <alignment horizontal="center" shrinkToFit="0" vertical="center" wrapText="1"/>
    </xf>
    <xf borderId="5" fillId="6" fontId="19" numFmtId="0" xfId="0" applyAlignment="1" applyBorder="1" applyFont="1">
      <alignment horizontal="center" shrinkToFit="0" vertical="center" wrapText="1"/>
    </xf>
    <xf borderId="12" fillId="4" fontId="15" numFmtId="3" xfId="0" applyAlignment="1" applyBorder="1" applyFont="1" applyNumberFormat="1">
      <alignment horizontal="center" readingOrder="0"/>
    </xf>
    <xf borderId="12" fillId="4" fontId="15" numFmtId="0" xfId="0" applyAlignment="1" applyBorder="1" applyFont="1">
      <alignment horizontal="center" readingOrder="0"/>
    </xf>
    <xf borderId="9" fillId="4" fontId="15" numFmtId="167" xfId="0" applyAlignment="1" applyBorder="1" applyFont="1" applyNumberFormat="1">
      <alignment horizontal="center" readingOrder="0"/>
    </xf>
    <xf borderId="5" fillId="5" fontId="20" numFmtId="0" xfId="0" applyAlignment="1" applyBorder="1" applyFont="1">
      <alignment horizontal="center" shrinkToFit="0" vertical="center" wrapText="1"/>
    </xf>
    <xf borderId="5" fillId="6" fontId="2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167" xfId="0" applyAlignment="1" applyFont="1" applyNumberFormat="1">
      <alignment readingOrder="0"/>
    </xf>
    <xf borderId="0" fillId="0" fontId="21" numFmtId="0" xfId="0" applyFont="1"/>
    <xf borderId="0" fillId="0" fontId="21" numFmtId="167" xfId="0" applyAlignment="1" applyFont="1" applyNumberFormat="1">
      <alignment readingOrder="0"/>
    </xf>
    <xf borderId="0" fillId="0" fontId="21" numFmtId="0" xfId="0" applyFont="1"/>
    <xf borderId="0" fillId="0" fontId="22" numFmtId="0" xfId="0" applyFont="1"/>
    <xf borderId="0" fillId="0" fontId="21" numFmtId="168" xfId="0" applyAlignment="1" applyFont="1" applyNumberFormat="1">
      <alignment readingOrder="0"/>
    </xf>
    <xf borderId="0" fillId="0" fontId="21" numFmtId="169" xfId="0" applyAlignment="1" applyFont="1" applyNumberFormat="1">
      <alignment readingOrder="0"/>
    </xf>
    <xf borderId="0" fillId="0" fontId="22" numFmtId="169" xfId="0" applyAlignment="1" applyFont="1" applyNumberFormat="1">
      <alignment readingOrder="0"/>
    </xf>
    <xf borderId="0" fillId="0" fontId="2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717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43"/>
    <col customWidth="1" min="2" max="2" width="7.71"/>
    <col customWidth="1" min="3" max="3" width="26.86"/>
    <col customWidth="1" min="4" max="4" width="13.86"/>
    <col customWidth="1" min="5" max="5" width="10.71"/>
    <col customWidth="1" min="6" max="6" width="18.0"/>
    <col customWidth="1" min="7" max="7" width="10.29"/>
    <col customWidth="1" min="8" max="8" width="19.0"/>
    <col customWidth="1" min="9" max="9" width="17.86"/>
    <col customWidth="1" min="10" max="10" width="17.71"/>
    <col customWidth="1" min="11" max="11" width="18.57"/>
    <col customWidth="1" min="12" max="13" width="12.14"/>
    <col customWidth="1" min="14" max="14" width="13.86"/>
    <col customWidth="1" min="15" max="15" width="13.0"/>
    <col customWidth="1" min="16" max="16" width="18.29"/>
    <col customWidth="1" min="17" max="17" width="15.71"/>
    <col customWidth="1" min="18" max="18" width="17.86"/>
    <col customWidth="1" min="19" max="19" width="17.57"/>
    <col customWidth="1" min="20" max="20" width="11.0"/>
    <col customWidth="1" min="21" max="21" width="10.71"/>
    <col customWidth="1" min="22" max="22" width="9.57"/>
    <col customWidth="1" min="23" max="23" width="9.0"/>
    <col customWidth="1" min="24" max="25" width="8.43"/>
    <col customWidth="1" min="26" max="26" width="9.86"/>
    <col customWidth="1" min="27" max="27" width="9.0"/>
    <col customWidth="1" min="28" max="28" width="14.14"/>
    <col customWidth="1" min="29" max="29" width="11.71"/>
    <col customWidth="1" min="30" max="31" width="13.57"/>
    <col customWidth="1" min="32" max="32" width="11.43"/>
    <col customWidth="1" min="33" max="33" width="11.14"/>
    <col customWidth="1" min="34" max="34" width="9.43"/>
    <col customWidth="1" min="35" max="35" width="9.14"/>
    <col customWidth="1" min="36" max="36" width="8.29"/>
    <col customWidth="1" min="37" max="37" width="9.0"/>
    <col customWidth="1" min="38" max="38" width="10.43"/>
    <col customWidth="1" min="39" max="39" width="9.29"/>
    <col customWidth="1" min="40" max="40" width="14.29"/>
    <col customWidth="1" min="41" max="41" width="12.0"/>
    <col customWidth="1" min="42" max="42" width="13.86"/>
    <col customWidth="1" min="43" max="43" width="13.71"/>
    <col customWidth="1" min="44" max="44" width="152.86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</row>
    <row r="2" ht="18.0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30.0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9">
        <v>45717.0</v>
      </c>
      <c r="I4" s="9">
        <v>45748.0</v>
      </c>
      <c r="J4" s="9">
        <v>45778.0</v>
      </c>
      <c r="K4" s="9">
        <v>45809.0</v>
      </c>
      <c r="L4" s="9">
        <v>45839.0</v>
      </c>
      <c r="M4" s="10">
        <v>45870.0</v>
      </c>
      <c r="N4" s="9">
        <v>45901.0</v>
      </c>
      <c r="O4" s="9">
        <v>45931.0</v>
      </c>
      <c r="P4" s="9">
        <v>45962.0</v>
      </c>
      <c r="Q4" s="9">
        <v>45992.0</v>
      </c>
      <c r="R4" s="11" t="s">
        <v>9</v>
      </c>
      <c r="S4" s="12" t="s">
        <v>10</v>
      </c>
      <c r="T4" s="13" t="s">
        <v>11</v>
      </c>
      <c r="U4" s="14" t="s">
        <v>12</v>
      </c>
      <c r="V4" s="14" t="s">
        <v>13</v>
      </c>
      <c r="W4" s="14" t="s">
        <v>14</v>
      </c>
      <c r="X4" s="14" t="s">
        <v>15</v>
      </c>
      <c r="Y4" s="14" t="s">
        <v>16</v>
      </c>
      <c r="Z4" s="14" t="s">
        <v>17</v>
      </c>
      <c r="AA4" s="14" t="s">
        <v>18</v>
      </c>
      <c r="AB4" s="14" t="s">
        <v>19</v>
      </c>
      <c r="AC4" s="14" t="s">
        <v>20</v>
      </c>
      <c r="AR4" s="15" t="s">
        <v>21</v>
      </c>
    </row>
    <row r="5" ht="21.75" customHeight="1">
      <c r="A5" s="16" t="s">
        <v>22</v>
      </c>
      <c r="B5" s="17" t="s">
        <v>23</v>
      </c>
      <c r="C5" s="18" t="s">
        <v>24</v>
      </c>
      <c r="D5" s="19" t="s">
        <v>25</v>
      </c>
      <c r="E5" s="20">
        <v>110.0</v>
      </c>
      <c r="F5" s="21">
        <v>499.0</v>
      </c>
      <c r="G5" s="22">
        <v>3.5364</v>
      </c>
      <c r="H5" s="23">
        <v>1200.0</v>
      </c>
      <c r="I5" s="23">
        <v>1600.0</v>
      </c>
      <c r="J5" s="23">
        <v>1350.0</v>
      </c>
      <c r="K5" s="23">
        <v>1800.0</v>
      </c>
      <c r="L5" s="23">
        <v>1900.0</v>
      </c>
      <c r="M5" s="23">
        <v>2100.0</v>
      </c>
      <c r="N5" s="23">
        <v>2500.0</v>
      </c>
      <c r="O5" s="24">
        <v>2000.0</v>
      </c>
      <c r="P5" s="25">
        <v>1400.0</v>
      </c>
      <c r="Q5" s="26">
        <v>2100.0</v>
      </c>
      <c r="R5" s="27" t="s">
        <v>26</v>
      </c>
      <c r="S5" s="28" t="s">
        <v>26</v>
      </c>
      <c r="T5" s="29">
        <v>2100.0</v>
      </c>
      <c r="U5" s="30"/>
      <c r="V5" s="30"/>
      <c r="W5" s="30"/>
      <c r="X5" s="30"/>
      <c r="Y5" s="30"/>
      <c r="Z5" s="30"/>
      <c r="AA5" s="30"/>
      <c r="AB5" s="30"/>
      <c r="AC5" s="30"/>
      <c r="AR5" s="31" t="s">
        <v>27</v>
      </c>
    </row>
    <row r="6" ht="21.75" customHeight="1">
      <c r="A6" s="32" t="s">
        <v>22</v>
      </c>
      <c r="B6" s="33" t="s">
        <v>28</v>
      </c>
      <c r="C6" s="34" t="s">
        <v>29</v>
      </c>
      <c r="D6" s="35" t="s">
        <v>30</v>
      </c>
      <c r="E6" s="36">
        <v>110.0</v>
      </c>
      <c r="F6" s="37">
        <v>320.0</v>
      </c>
      <c r="G6" s="38">
        <v>1.9091</v>
      </c>
      <c r="H6" s="23">
        <v>2900.0</v>
      </c>
      <c r="I6" s="23">
        <v>2800.0</v>
      </c>
      <c r="J6" s="23">
        <v>2850.0</v>
      </c>
      <c r="K6" s="23">
        <v>2900.0</v>
      </c>
      <c r="L6" s="23">
        <v>2950.0</v>
      </c>
      <c r="M6" s="23">
        <v>3000.0</v>
      </c>
      <c r="N6" s="23">
        <v>3100.0</v>
      </c>
      <c r="O6" s="39">
        <v>3000.0</v>
      </c>
      <c r="P6" s="39">
        <v>3000.0</v>
      </c>
      <c r="Q6" s="26" t="s">
        <v>26</v>
      </c>
      <c r="R6" s="27" t="s">
        <v>26</v>
      </c>
      <c r="S6" s="28" t="s">
        <v>26</v>
      </c>
      <c r="T6" s="29">
        <v>3000.0</v>
      </c>
      <c r="U6" s="30"/>
      <c r="V6" s="30"/>
      <c r="W6" s="30"/>
      <c r="X6" s="30"/>
      <c r="Y6" s="30"/>
      <c r="Z6" s="30"/>
      <c r="AA6" s="30"/>
      <c r="AB6" s="30"/>
      <c r="AC6" s="30"/>
      <c r="AR6" s="31" t="s">
        <v>31</v>
      </c>
    </row>
    <row r="7" ht="21.75" customHeight="1">
      <c r="A7" s="16" t="s">
        <v>22</v>
      </c>
      <c r="B7" s="17" t="s">
        <v>32</v>
      </c>
      <c r="C7" s="18" t="s">
        <v>33</v>
      </c>
      <c r="D7" s="19" t="s">
        <v>34</v>
      </c>
      <c r="E7" s="20">
        <v>110.0</v>
      </c>
      <c r="F7" s="21">
        <v>310.0</v>
      </c>
      <c r="G7" s="22">
        <v>1.8182</v>
      </c>
      <c r="H7" s="23">
        <v>950.0</v>
      </c>
      <c r="I7" s="23">
        <v>1500.0</v>
      </c>
      <c r="J7" s="23">
        <v>1300.0</v>
      </c>
      <c r="K7" s="23">
        <v>1500.0</v>
      </c>
      <c r="L7" s="23">
        <v>1750.0</v>
      </c>
      <c r="M7" s="23">
        <v>2000.0</v>
      </c>
      <c r="N7" s="23">
        <v>2150.0</v>
      </c>
      <c r="O7" s="39">
        <v>2100.0</v>
      </c>
      <c r="P7" s="39">
        <v>1800.0</v>
      </c>
      <c r="Q7" s="26" t="s">
        <v>26</v>
      </c>
      <c r="R7" s="27" t="s">
        <v>26</v>
      </c>
      <c r="S7" s="28" t="s">
        <v>26</v>
      </c>
      <c r="T7" s="29">
        <v>1800.0</v>
      </c>
      <c r="U7" s="30"/>
      <c r="V7" s="30"/>
      <c r="W7" s="30"/>
      <c r="X7" s="30"/>
      <c r="Y7" s="30"/>
      <c r="Z7" s="30"/>
      <c r="AA7" s="30"/>
      <c r="AB7" s="30"/>
      <c r="AC7" s="30"/>
      <c r="AR7" s="31" t="s">
        <v>35</v>
      </c>
    </row>
    <row r="8" ht="21.75" customHeight="1">
      <c r="A8" s="32" t="s">
        <v>22</v>
      </c>
      <c r="B8" s="33" t="s">
        <v>36</v>
      </c>
      <c r="C8" s="34" t="s">
        <v>37</v>
      </c>
      <c r="D8" s="35" t="s">
        <v>38</v>
      </c>
      <c r="E8" s="36">
        <v>110.0</v>
      </c>
      <c r="F8" s="37">
        <v>290.0</v>
      </c>
      <c r="G8" s="38">
        <v>1.6364</v>
      </c>
      <c r="H8" s="23">
        <v>900.0</v>
      </c>
      <c r="I8" s="23">
        <v>1200.0</v>
      </c>
      <c r="J8" s="23">
        <v>1300.0</v>
      </c>
      <c r="K8" s="23">
        <v>1450.0</v>
      </c>
      <c r="L8" s="23">
        <v>1900.0</v>
      </c>
      <c r="M8" s="23">
        <v>2500.0</v>
      </c>
      <c r="N8" s="23">
        <v>1900.0</v>
      </c>
      <c r="O8" s="39">
        <v>1100.0</v>
      </c>
      <c r="P8" s="39">
        <v>1200.0</v>
      </c>
      <c r="Q8" s="26">
        <v>1150.0</v>
      </c>
      <c r="R8" s="27">
        <v>1150.0</v>
      </c>
      <c r="S8" s="27">
        <v>1100.0</v>
      </c>
      <c r="T8" s="29">
        <v>1100.0</v>
      </c>
      <c r="U8" s="30"/>
      <c r="V8" s="30"/>
      <c r="W8" s="30"/>
      <c r="X8" s="30"/>
      <c r="Y8" s="30"/>
      <c r="Z8" s="30"/>
      <c r="AA8" s="30"/>
      <c r="AB8" s="30"/>
      <c r="AC8" s="30"/>
      <c r="AR8" s="31" t="s">
        <v>39</v>
      </c>
    </row>
    <row r="9" ht="21.75" customHeight="1">
      <c r="A9" s="16" t="s">
        <v>22</v>
      </c>
      <c r="B9" s="17" t="s">
        <v>40</v>
      </c>
      <c r="C9" s="18" t="s">
        <v>41</v>
      </c>
      <c r="D9" s="19" t="s">
        <v>42</v>
      </c>
      <c r="E9" s="20">
        <v>110.0</v>
      </c>
      <c r="F9" s="21">
        <v>210.0</v>
      </c>
      <c r="G9" s="22">
        <v>0.9091</v>
      </c>
      <c r="H9" s="23">
        <v>420.0</v>
      </c>
      <c r="I9" s="23">
        <v>450.0</v>
      </c>
      <c r="J9" s="23">
        <v>490.0</v>
      </c>
      <c r="K9" s="23">
        <v>520.0</v>
      </c>
      <c r="L9" s="23">
        <v>560.0</v>
      </c>
      <c r="M9" s="23">
        <v>600.0</v>
      </c>
      <c r="N9" s="23">
        <v>550.0</v>
      </c>
      <c r="O9" s="39">
        <v>500.0</v>
      </c>
      <c r="P9" s="39">
        <v>550.0</v>
      </c>
      <c r="Q9" s="26">
        <v>500.0</v>
      </c>
      <c r="R9" s="27">
        <v>500.0</v>
      </c>
      <c r="S9" s="27">
        <v>450.0</v>
      </c>
      <c r="T9" s="40">
        <v>600.0</v>
      </c>
      <c r="U9" s="30"/>
      <c r="V9" s="30"/>
      <c r="W9" s="30"/>
      <c r="X9" s="30"/>
      <c r="Y9" s="30"/>
      <c r="Z9" s="30"/>
      <c r="AA9" s="30"/>
      <c r="AB9" s="30"/>
      <c r="AC9" s="30"/>
      <c r="AR9" s="31" t="s">
        <v>43</v>
      </c>
    </row>
    <row r="10" ht="21.75" customHeight="1">
      <c r="A10" s="32" t="s">
        <v>22</v>
      </c>
      <c r="B10" s="33" t="s">
        <v>44</v>
      </c>
      <c r="C10" s="34" t="s">
        <v>45</v>
      </c>
      <c r="D10" s="35" t="s">
        <v>46</v>
      </c>
      <c r="E10" s="36">
        <v>110.0</v>
      </c>
      <c r="F10" s="37">
        <v>215.0</v>
      </c>
      <c r="G10" s="38">
        <v>0.9545</v>
      </c>
      <c r="H10" s="23">
        <v>400.0</v>
      </c>
      <c r="I10" s="23">
        <v>420.0</v>
      </c>
      <c r="J10" s="23">
        <v>420.0</v>
      </c>
      <c r="K10" s="23">
        <v>430.0</v>
      </c>
      <c r="L10" s="23">
        <v>450.0</v>
      </c>
      <c r="M10" s="23">
        <v>460.0</v>
      </c>
      <c r="N10" s="23">
        <v>410.0</v>
      </c>
      <c r="O10" s="39">
        <v>440.0</v>
      </c>
      <c r="P10" s="39">
        <v>400.0</v>
      </c>
      <c r="Q10" s="26">
        <v>360.0</v>
      </c>
      <c r="R10" s="27">
        <v>390.0</v>
      </c>
      <c r="S10" s="27">
        <v>400.0</v>
      </c>
      <c r="T10" s="29">
        <v>420.0</v>
      </c>
      <c r="U10" s="30"/>
      <c r="V10" s="30"/>
      <c r="W10" s="30"/>
      <c r="X10" s="30"/>
      <c r="Y10" s="30"/>
      <c r="Z10" s="30"/>
      <c r="AA10" s="30"/>
      <c r="AB10" s="30"/>
      <c r="AC10" s="30"/>
      <c r="AR10" s="31" t="s">
        <v>47</v>
      </c>
    </row>
    <row r="11" ht="21.75" customHeight="1">
      <c r="A11" s="16" t="s">
        <v>22</v>
      </c>
      <c r="B11" s="17" t="s">
        <v>48</v>
      </c>
      <c r="C11" s="18" t="s">
        <v>49</v>
      </c>
      <c r="D11" s="19" t="s">
        <v>50</v>
      </c>
      <c r="E11" s="20">
        <v>130.0</v>
      </c>
      <c r="F11" s="21">
        <v>1380.0</v>
      </c>
      <c r="G11" s="22">
        <v>9.6154</v>
      </c>
      <c r="H11" s="23">
        <v>1100.0</v>
      </c>
      <c r="I11" s="23">
        <v>1000.0</v>
      </c>
      <c r="J11" s="23">
        <v>1050.0</v>
      </c>
      <c r="K11" s="23">
        <v>1000.0</v>
      </c>
      <c r="L11" s="23">
        <v>1100.0</v>
      </c>
      <c r="M11" s="23">
        <v>1100.0</v>
      </c>
      <c r="N11" s="23">
        <v>1100.0</v>
      </c>
      <c r="O11" s="39">
        <v>1100.0</v>
      </c>
      <c r="P11" s="25">
        <v>1000.0</v>
      </c>
      <c r="Q11" s="26">
        <v>1000.0</v>
      </c>
      <c r="R11" s="27">
        <v>1100.0</v>
      </c>
      <c r="S11" s="27">
        <v>1200.0</v>
      </c>
      <c r="T11" s="29">
        <v>1150.0</v>
      </c>
      <c r="U11" s="30"/>
      <c r="V11" s="30"/>
      <c r="W11" s="30"/>
      <c r="X11" s="30"/>
      <c r="Y11" s="30"/>
      <c r="Z11" s="30"/>
      <c r="AA11" s="30"/>
      <c r="AB11" s="30"/>
      <c r="AC11" s="30"/>
      <c r="AR11" s="31" t="s">
        <v>51</v>
      </c>
    </row>
    <row r="12" ht="21.75" customHeight="1">
      <c r="A12" s="32" t="s">
        <v>22</v>
      </c>
      <c r="B12" s="33" t="s">
        <v>52</v>
      </c>
      <c r="C12" s="34" t="s">
        <v>53</v>
      </c>
      <c r="D12" s="35" t="s">
        <v>54</v>
      </c>
      <c r="E12" s="36">
        <v>130.0</v>
      </c>
      <c r="F12" s="37">
        <v>600.0</v>
      </c>
      <c r="G12" s="38">
        <v>3.6154</v>
      </c>
      <c r="H12" s="23">
        <v>400.0</v>
      </c>
      <c r="I12" s="23">
        <v>420.0</v>
      </c>
      <c r="J12" s="23">
        <v>430.0</v>
      </c>
      <c r="K12" s="23">
        <v>420.0</v>
      </c>
      <c r="L12" s="23">
        <v>450.0</v>
      </c>
      <c r="M12" s="23">
        <v>480.0</v>
      </c>
      <c r="N12" s="23">
        <v>430.0</v>
      </c>
      <c r="O12" s="39">
        <v>550.0</v>
      </c>
      <c r="P12" s="39">
        <v>520.0</v>
      </c>
      <c r="Q12" s="26">
        <v>530.0</v>
      </c>
      <c r="R12" s="27">
        <v>520.0</v>
      </c>
      <c r="S12" s="27">
        <v>550.0</v>
      </c>
      <c r="T12" s="29">
        <v>580.0</v>
      </c>
      <c r="U12" s="30"/>
      <c r="V12" s="30"/>
      <c r="W12" s="30"/>
      <c r="X12" s="30"/>
      <c r="Y12" s="30"/>
      <c r="Z12" s="30"/>
      <c r="AA12" s="30"/>
      <c r="AB12" s="30"/>
      <c r="AC12" s="30"/>
      <c r="AR12" s="31" t="s">
        <v>55</v>
      </c>
    </row>
    <row r="13" ht="21.75" customHeight="1">
      <c r="A13" s="16" t="s">
        <v>22</v>
      </c>
      <c r="B13" s="17" t="s">
        <v>56</v>
      </c>
      <c r="C13" s="18" t="s">
        <v>57</v>
      </c>
      <c r="D13" s="19" t="s">
        <v>58</v>
      </c>
      <c r="E13" s="20">
        <v>130.0</v>
      </c>
      <c r="F13" s="21">
        <v>420.0</v>
      </c>
      <c r="G13" s="22">
        <v>2.2308</v>
      </c>
      <c r="H13" s="23">
        <v>420.0</v>
      </c>
      <c r="I13" s="23">
        <v>410.0</v>
      </c>
      <c r="J13" s="23">
        <v>420.0</v>
      </c>
      <c r="K13" s="23">
        <v>410.0</v>
      </c>
      <c r="L13" s="23">
        <v>400.0</v>
      </c>
      <c r="M13" s="23">
        <v>400.0</v>
      </c>
      <c r="N13" s="23">
        <v>410.0</v>
      </c>
      <c r="O13" s="39">
        <v>430.0</v>
      </c>
      <c r="P13" s="39">
        <v>390.0</v>
      </c>
      <c r="Q13" s="26">
        <v>370.0</v>
      </c>
      <c r="R13" s="27">
        <v>370.0</v>
      </c>
      <c r="S13" s="27">
        <v>375.0</v>
      </c>
      <c r="T13" s="29">
        <v>380.0</v>
      </c>
      <c r="U13" s="30"/>
      <c r="V13" s="30"/>
      <c r="W13" s="30"/>
      <c r="X13" s="30"/>
      <c r="Y13" s="30"/>
      <c r="Z13" s="30"/>
      <c r="AA13" s="30"/>
      <c r="AB13" s="30"/>
      <c r="AC13" s="30"/>
      <c r="AR13" s="31" t="s">
        <v>59</v>
      </c>
    </row>
    <row r="14" ht="21.75" customHeight="1">
      <c r="A14" s="32" t="s">
        <v>22</v>
      </c>
      <c r="B14" s="33" t="s">
        <v>60</v>
      </c>
      <c r="C14" s="34" t="s">
        <v>61</v>
      </c>
      <c r="D14" s="35" t="s">
        <v>62</v>
      </c>
      <c r="E14" s="36">
        <v>130.0</v>
      </c>
      <c r="F14" s="37">
        <v>320.0</v>
      </c>
      <c r="G14" s="38">
        <v>1.4615</v>
      </c>
      <c r="H14" s="23">
        <v>420.0</v>
      </c>
      <c r="I14" s="23">
        <v>410.0</v>
      </c>
      <c r="J14" s="23">
        <v>390.0</v>
      </c>
      <c r="K14" s="23">
        <v>360.0</v>
      </c>
      <c r="L14" s="23">
        <v>350.0</v>
      </c>
      <c r="M14" s="23">
        <v>340.0</v>
      </c>
      <c r="N14" s="23">
        <v>290.0</v>
      </c>
      <c r="O14" s="39">
        <v>295.0</v>
      </c>
      <c r="P14" s="39">
        <v>260.0</v>
      </c>
      <c r="Q14" s="26">
        <v>250.0</v>
      </c>
      <c r="R14" s="27">
        <v>250.0</v>
      </c>
      <c r="S14" s="27">
        <v>265.0</v>
      </c>
      <c r="T14" s="29">
        <v>280.0</v>
      </c>
      <c r="U14" s="30"/>
      <c r="V14" s="30"/>
      <c r="W14" s="30"/>
      <c r="X14" s="30"/>
      <c r="Y14" s="30"/>
      <c r="Z14" s="30"/>
      <c r="AA14" s="30"/>
      <c r="AB14" s="30"/>
      <c r="AC14" s="30"/>
      <c r="AR14" s="31" t="s">
        <v>63</v>
      </c>
    </row>
    <row r="15" ht="21.75" customHeight="1">
      <c r="A15" s="16" t="s">
        <v>22</v>
      </c>
      <c r="B15" s="17" t="s">
        <v>64</v>
      </c>
      <c r="C15" s="18" t="s">
        <v>65</v>
      </c>
      <c r="D15" s="19" t="s">
        <v>66</v>
      </c>
      <c r="E15" s="20">
        <v>130.0</v>
      </c>
      <c r="F15" s="21">
        <v>400.0</v>
      </c>
      <c r="G15" s="22">
        <v>2.0769</v>
      </c>
      <c r="H15" s="23">
        <v>700.0</v>
      </c>
      <c r="I15" s="23">
        <v>680.0</v>
      </c>
      <c r="J15" s="23">
        <v>690.0</v>
      </c>
      <c r="K15" s="23">
        <v>650.0</v>
      </c>
      <c r="L15" s="23">
        <v>420.0</v>
      </c>
      <c r="M15" s="23">
        <v>300.0</v>
      </c>
      <c r="N15" s="23">
        <v>340.0</v>
      </c>
      <c r="O15" s="39">
        <v>335.0</v>
      </c>
      <c r="P15" s="39">
        <v>340.0</v>
      </c>
      <c r="Q15" s="26">
        <v>385.0</v>
      </c>
      <c r="R15" s="41">
        <v>400.0</v>
      </c>
      <c r="S15" s="41">
        <v>400.0</v>
      </c>
      <c r="T15" s="29">
        <v>420.0</v>
      </c>
      <c r="U15" s="30"/>
      <c r="V15" s="30"/>
      <c r="W15" s="30"/>
      <c r="X15" s="30"/>
      <c r="Y15" s="30"/>
      <c r="Z15" s="30"/>
      <c r="AA15" s="30"/>
      <c r="AB15" s="30"/>
      <c r="AC15" s="30"/>
      <c r="AR15" s="31" t="s">
        <v>67</v>
      </c>
    </row>
    <row r="16" ht="21.75" customHeight="1">
      <c r="A16" s="32" t="s">
        <v>22</v>
      </c>
      <c r="B16" s="33" t="s">
        <v>68</v>
      </c>
      <c r="C16" s="34" t="s">
        <v>69</v>
      </c>
      <c r="D16" s="35" t="s">
        <v>70</v>
      </c>
      <c r="E16" s="36">
        <v>130.0</v>
      </c>
      <c r="F16" s="37">
        <v>320.0</v>
      </c>
      <c r="G16" s="38">
        <v>1.4615</v>
      </c>
      <c r="H16" s="23">
        <v>410.0</v>
      </c>
      <c r="I16" s="23">
        <v>400.0</v>
      </c>
      <c r="J16" s="23">
        <v>390.0</v>
      </c>
      <c r="K16" s="23">
        <v>380.0</v>
      </c>
      <c r="L16" s="23">
        <v>350.0</v>
      </c>
      <c r="M16" s="23">
        <v>270.0</v>
      </c>
      <c r="N16" s="23">
        <v>310.0</v>
      </c>
      <c r="O16" s="42">
        <v>310.0</v>
      </c>
      <c r="P16" s="39">
        <v>300.0</v>
      </c>
      <c r="Q16" s="26">
        <v>290.0</v>
      </c>
      <c r="R16" s="27">
        <v>300.0</v>
      </c>
      <c r="S16" s="41">
        <v>320.0</v>
      </c>
      <c r="T16" s="29">
        <v>330.0</v>
      </c>
      <c r="U16" s="30"/>
      <c r="V16" s="30"/>
      <c r="W16" s="30"/>
      <c r="X16" s="30"/>
      <c r="Y16" s="30"/>
      <c r="Z16" s="30"/>
      <c r="AA16" s="30"/>
      <c r="AB16" s="30"/>
      <c r="AC16" s="30"/>
      <c r="AR16" s="31" t="s">
        <v>71</v>
      </c>
    </row>
    <row r="17" ht="21.75" customHeight="1">
      <c r="A17" s="43" t="s">
        <v>72</v>
      </c>
      <c r="B17" s="17" t="s">
        <v>73</v>
      </c>
      <c r="C17" s="18" t="s">
        <v>74</v>
      </c>
      <c r="D17" s="19" t="s">
        <v>75</v>
      </c>
      <c r="E17" s="20">
        <v>140.0</v>
      </c>
      <c r="F17" s="21">
        <v>250.0</v>
      </c>
      <c r="G17" s="22">
        <v>0.7857</v>
      </c>
      <c r="H17" s="39">
        <v>200.0</v>
      </c>
      <c r="I17" s="39">
        <v>200.0</v>
      </c>
      <c r="J17" s="39">
        <v>210.0</v>
      </c>
      <c r="K17" s="23">
        <v>200.0</v>
      </c>
      <c r="L17" s="39">
        <v>210.0</v>
      </c>
      <c r="M17" s="23">
        <v>220.0</v>
      </c>
      <c r="N17" s="23">
        <v>230.0</v>
      </c>
      <c r="O17" s="39">
        <v>240.0</v>
      </c>
      <c r="P17" s="39">
        <v>220.0</v>
      </c>
      <c r="Q17" s="26">
        <v>215.0</v>
      </c>
      <c r="R17" s="41">
        <v>200.0</v>
      </c>
      <c r="S17" s="27">
        <v>220.0</v>
      </c>
      <c r="T17" s="29">
        <v>215.0</v>
      </c>
      <c r="U17" s="30"/>
      <c r="V17" s="30"/>
      <c r="W17" s="30"/>
      <c r="X17" s="30"/>
      <c r="Y17" s="30"/>
      <c r="Z17" s="30"/>
      <c r="AA17" s="30"/>
      <c r="AB17" s="30"/>
      <c r="AC17" s="30"/>
      <c r="AR17" s="31" t="s">
        <v>76</v>
      </c>
    </row>
    <row r="18" ht="21.75" customHeight="1">
      <c r="A18" s="44" t="s">
        <v>72</v>
      </c>
      <c r="B18" s="33" t="s">
        <v>77</v>
      </c>
      <c r="C18" s="34" t="s">
        <v>78</v>
      </c>
      <c r="D18" s="35" t="s">
        <v>79</v>
      </c>
      <c r="E18" s="36">
        <v>140.0</v>
      </c>
      <c r="F18" s="37">
        <v>270.0</v>
      </c>
      <c r="G18" s="38">
        <v>0.9286</v>
      </c>
      <c r="H18" s="39">
        <v>210.0</v>
      </c>
      <c r="I18" s="39">
        <v>210.0</v>
      </c>
      <c r="J18" s="39">
        <v>220.0</v>
      </c>
      <c r="K18" s="23">
        <v>225.0</v>
      </c>
      <c r="L18" s="39">
        <v>230.0</v>
      </c>
      <c r="M18" s="23">
        <v>225.0</v>
      </c>
      <c r="N18" s="23">
        <v>230.0</v>
      </c>
      <c r="O18" s="45">
        <v>240.0</v>
      </c>
      <c r="P18" s="39">
        <v>230.0</v>
      </c>
      <c r="Q18" s="26">
        <v>215.0</v>
      </c>
      <c r="R18" s="27">
        <v>225.0</v>
      </c>
      <c r="S18" s="27">
        <v>215.0</v>
      </c>
      <c r="T18" s="29">
        <v>220.0</v>
      </c>
      <c r="U18" s="30"/>
      <c r="V18" s="30"/>
      <c r="W18" s="30"/>
      <c r="X18" s="30"/>
      <c r="Y18" s="30"/>
      <c r="Z18" s="30"/>
      <c r="AA18" s="30"/>
      <c r="AB18" s="30"/>
      <c r="AC18" s="30"/>
      <c r="AR18" s="31" t="s">
        <v>80</v>
      </c>
    </row>
    <row r="19" ht="21.75" customHeight="1">
      <c r="A19" s="43" t="s">
        <v>72</v>
      </c>
      <c r="B19" s="17" t="s">
        <v>81</v>
      </c>
      <c r="C19" s="18" t="s">
        <v>82</v>
      </c>
      <c r="D19" s="19" t="s">
        <v>83</v>
      </c>
      <c r="E19" s="20">
        <v>140.0</v>
      </c>
      <c r="F19" s="21">
        <v>250.0</v>
      </c>
      <c r="G19" s="22">
        <v>0.7857</v>
      </c>
      <c r="H19" s="39">
        <v>350.0</v>
      </c>
      <c r="I19" s="39">
        <v>350.0</v>
      </c>
      <c r="J19" s="39">
        <v>350.0</v>
      </c>
      <c r="K19" s="23">
        <v>325.0</v>
      </c>
      <c r="L19" s="39">
        <v>300.0</v>
      </c>
      <c r="M19" s="23">
        <v>345.0</v>
      </c>
      <c r="N19" s="23">
        <v>330.0</v>
      </c>
      <c r="O19" s="39">
        <v>340.0</v>
      </c>
      <c r="P19" s="39">
        <v>270.0</v>
      </c>
      <c r="Q19" s="26">
        <v>230.0</v>
      </c>
      <c r="R19" s="27">
        <v>210.0</v>
      </c>
      <c r="S19" s="27">
        <v>240.0</v>
      </c>
      <c r="T19" s="29">
        <v>220.0</v>
      </c>
      <c r="U19" s="30"/>
      <c r="V19" s="30"/>
      <c r="W19" s="30"/>
      <c r="X19" s="30"/>
      <c r="Y19" s="30"/>
      <c r="Z19" s="30"/>
      <c r="AA19" s="30"/>
      <c r="AB19" s="30"/>
      <c r="AC19" s="30"/>
      <c r="AR19" s="31" t="s">
        <v>84</v>
      </c>
    </row>
    <row r="20" ht="21.75" customHeight="1">
      <c r="A20" s="44" t="s">
        <v>72</v>
      </c>
      <c r="B20" s="33" t="s">
        <v>85</v>
      </c>
      <c r="C20" s="34" t="s">
        <v>86</v>
      </c>
      <c r="D20" s="35" t="s">
        <v>87</v>
      </c>
      <c r="E20" s="36">
        <v>140.0</v>
      </c>
      <c r="F20" s="37">
        <v>240.0</v>
      </c>
      <c r="G20" s="38">
        <v>0.7143</v>
      </c>
      <c r="H20" s="39">
        <v>225.0</v>
      </c>
      <c r="I20" s="39">
        <v>225.0</v>
      </c>
      <c r="J20" s="39">
        <v>225.0</v>
      </c>
      <c r="K20" s="23">
        <v>250.0</v>
      </c>
      <c r="L20" s="39">
        <v>290.0</v>
      </c>
      <c r="M20" s="23">
        <v>275.0</v>
      </c>
      <c r="N20" s="23">
        <v>260.0</v>
      </c>
      <c r="O20" s="39">
        <v>270.0</v>
      </c>
      <c r="P20" s="39">
        <v>260.0</v>
      </c>
      <c r="Q20" s="26">
        <v>250.0</v>
      </c>
      <c r="R20" s="27">
        <v>240.0</v>
      </c>
      <c r="S20" s="41">
        <v>240.0</v>
      </c>
      <c r="T20" s="29">
        <v>245.0</v>
      </c>
      <c r="U20" s="30"/>
      <c r="V20" s="30"/>
      <c r="W20" s="30"/>
      <c r="X20" s="30"/>
      <c r="Y20" s="30"/>
      <c r="Z20" s="30"/>
      <c r="AA20" s="30"/>
      <c r="AB20" s="30"/>
      <c r="AC20" s="30"/>
      <c r="AR20" s="31" t="s">
        <v>88</v>
      </c>
    </row>
    <row r="21" ht="21.75" customHeight="1">
      <c r="A21" s="43" t="s">
        <v>72</v>
      </c>
      <c r="B21" s="17" t="s">
        <v>89</v>
      </c>
      <c r="C21" s="18" t="s">
        <v>90</v>
      </c>
      <c r="D21" s="19" t="s">
        <v>91</v>
      </c>
      <c r="E21" s="20">
        <v>140.0</v>
      </c>
      <c r="F21" s="21">
        <v>230.0</v>
      </c>
      <c r="G21" s="22">
        <v>0.6429</v>
      </c>
      <c r="H21" s="39">
        <v>225.0</v>
      </c>
      <c r="I21" s="39">
        <v>225.0</v>
      </c>
      <c r="J21" s="39">
        <v>230.0</v>
      </c>
      <c r="K21" s="23">
        <v>230.0</v>
      </c>
      <c r="L21" s="39">
        <v>235.0</v>
      </c>
      <c r="M21" s="23">
        <v>265.0</v>
      </c>
      <c r="N21" s="23">
        <v>250.0</v>
      </c>
      <c r="O21" s="39">
        <v>240.0</v>
      </c>
      <c r="P21" s="39">
        <v>250.0</v>
      </c>
      <c r="Q21" s="26">
        <v>240.0</v>
      </c>
      <c r="R21" s="27">
        <v>220.0</v>
      </c>
      <c r="S21" s="27">
        <v>240.0</v>
      </c>
      <c r="T21" s="29">
        <v>245.0</v>
      </c>
      <c r="U21" s="30"/>
      <c r="V21" s="30"/>
      <c r="W21" s="30"/>
      <c r="X21" s="30"/>
      <c r="Y21" s="30"/>
      <c r="Z21" s="30"/>
      <c r="AA21" s="30"/>
      <c r="AB21" s="30"/>
      <c r="AC21" s="30"/>
      <c r="AR21" s="31" t="s">
        <v>92</v>
      </c>
    </row>
    <row r="22" ht="21.75" customHeight="1">
      <c r="A22" s="44" t="s">
        <v>72</v>
      </c>
      <c r="B22" s="33" t="s">
        <v>93</v>
      </c>
      <c r="C22" s="34" t="s">
        <v>94</v>
      </c>
      <c r="D22" s="35" t="s">
        <v>95</v>
      </c>
      <c r="E22" s="36">
        <v>140.0</v>
      </c>
      <c r="F22" s="37">
        <v>200.0</v>
      </c>
      <c r="G22" s="38">
        <v>0.4286</v>
      </c>
      <c r="H22" s="39">
        <v>200.0</v>
      </c>
      <c r="I22" s="39">
        <v>200.0</v>
      </c>
      <c r="J22" s="39">
        <v>200.0</v>
      </c>
      <c r="K22" s="23">
        <v>220.0</v>
      </c>
      <c r="L22" s="39">
        <v>225.0</v>
      </c>
      <c r="M22" s="23">
        <v>220.0</v>
      </c>
      <c r="N22" s="23">
        <v>220.0</v>
      </c>
      <c r="O22" s="39">
        <v>200.0</v>
      </c>
      <c r="P22" s="39">
        <v>215.0</v>
      </c>
      <c r="Q22" s="26">
        <v>200.0</v>
      </c>
      <c r="R22" s="27">
        <v>210.0</v>
      </c>
      <c r="S22" s="41">
        <v>200.0</v>
      </c>
      <c r="T22" s="29">
        <v>205.0</v>
      </c>
      <c r="U22" s="30"/>
      <c r="V22" s="30"/>
      <c r="W22" s="30"/>
      <c r="X22" s="30"/>
      <c r="Y22" s="30"/>
      <c r="Z22" s="30"/>
      <c r="AA22" s="30"/>
      <c r="AB22" s="30"/>
      <c r="AC22" s="30"/>
      <c r="AR22" s="31" t="s">
        <v>96</v>
      </c>
    </row>
    <row r="23" ht="21.75" customHeight="1">
      <c r="A23" s="43" t="s">
        <v>72</v>
      </c>
      <c r="B23" s="17" t="s">
        <v>97</v>
      </c>
      <c r="C23" s="18" t="s">
        <v>98</v>
      </c>
      <c r="D23" s="19" t="s">
        <v>99</v>
      </c>
      <c r="E23" s="20">
        <v>140.0</v>
      </c>
      <c r="F23" s="21">
        <v>200.0</v>
      </c>
      <c r="G23" s="22">
        <v>0.4286</v>
      </c>
      <c r="H23" s="39">
        <v>200.0</v>
      </c>
      <c r="I23" s="39">
        <v>200.0</v>
      </c>
      <c r="J23" s="39">
        <v>200.0</v>
      </c>
      <c r="K23" s="23">
        <v>220.0</v>
      </c>
      <c r="L23" s="39">
        <v>230.0</v>
      </c>
      <c r="M23" s="23">
        <v>220.0</v>
      </c>
      <c r="N23" s="23">
        <v>230.0</v>
      </c>
      <c r="O23" s="46">
        <v>220.0</v>
      </c>
      <c r="P23" s="39">
        <v>230.0</v>
      </c>
      <c r="Q23" s="26">
        <v>220.0</v>
      </c>
      <c r="R23" s="27">
        <v>215.0</v>
      </c>
      <c r="S23" s="41">
        <v>200.0</v>
      </c>
      <c r="T23" s="29">
        <v>200.0</v>
      </c>
      <c r="U23" s="30"/>
      <c r="V23" s="30"/>
      <c r="W23" s="30"/>
      <c r="X23" s="30"/>
      <c r="Y23" s="30"/>
      <c r="Z23" s="30"/>
      <c r="AA23" s="30"/>
      <c r="AB23" s="30"/>
      <c r="AC23" s="30"/>
      <c r="AR23" s="31" t="s">
        <v>100</v>
      </c>
    </row>
    <row r="24" ht="21.75" customHeight="1">
      <c r="A24" s="44" t="s">
        <v>72</v>
      </c>
      <c r="B24" s="33" t="s">
        <v>101</v>
      </c>
      <c r="C24" s="34" t="s">
        <v>102</v>
      </c>
      <c r="D24" s="35" t="s">
        <v>103</v>
      </c>
      <c r="E24" s="36">
        <v>140.0</v>
      </c>
      <c r="F24" s="37">
        <v>230.0</v>
      </c>
      <c r="G24" s="38">
        <v>0.6429</v>
      </c>
      <c r="H24" s="39">
        <v>230.0</v>
      </c>
      <c r="I24" s="39">
        <v>230.0</v>
      </c>
      <c r="J24" s="39">
        <v>240.0</v>
      </c>
      <c r="K24" s="23">
        <v>240.0</v>
      </c>
      <c r="L24" s="39">
        <v>245.0</v>
      </c>
      <c r="M24" s="23">
        <v>260.0</v>
      </c>
      <c r="N24" s="23">
        <v>260.0</v>
      </c>
      <c r="O24" s="23">
        <v>240.0</v>
      </c>
      <c r="P24" s="39">
        <v>225.0</v>
      </c>
      <c r="Q24" s="26">
        <v>220.0</v>
      </c>
      <c r="R24" s="27">
        <v>210.0</v>
      </c>
      <c r="S24" s="27">
        <v>210.0</v>
      </c>
      <c r="T24" s="29">
        <v>210.0</v>
      </c>
      <c r="U24" s="30"/>
      <c r="V24" s="30"/>
      <c r="W24" s="30"/>
      <c r="X24" s="30"/>
      <c r="Y24" s="30"/>
      <c r="Z24" s="30"/>
      <c r="AA24" s="30"/>
      <c r="AB24" s="30"/>
      <c r="AC24" s="30"/>
      <c r="AR24" s="31" t="s">
        <v>104</v>
      </c>
    </row>
    <row r="25" ht="21.75" customHeight="1">
      <c r="A25" s="43" t="s">
        <v>72</v>
      </c>
      <c r="B25" s="17" t="s">
        <v>105</v>
      </c>
      <c r="C25" s="18" t="s">
        <v>106</v>
      </c>
      <c r="D25" s="19" t="s">
        <v>107</v>
      </c>
      <c r="E25" s="20">
        <v>140.0</v>
      </c>
      <c r="F25" s="21">
        <v>220.0</v>
      </c>
      <c r="G25" s="22">
        <v>0.5714</v>
      </c>
      <c r="H25" s="39">
        <v>210.0</v>
      </c>
      <c r="I25" s="39">
        <v>220.0</v>
      </c>
      <c r="J25" s="39">
        <v>240.0</v>
      </c>
      <c r="K25" s="23">
        <v>230.0</v>
      </c>
      <c r="L25" s="39">
        <v>220.0</v>
      </c>
      <c r="M25" s="23">
        <v>210.0</v>
      </c>
      <c r="N25" s="23">
        <v>190.0</v>
      </c>
      <c r="O25" s="23">
        <v>200.0</v>
      </c>
      <c r="P25" s="39">
        <v>205.0</v>
      </c>
      <c r="Q25" s="26">
        <v>210.0</v>
      </c>
      <c r="R25" s="27">
        <v>200.0</v>
      </c>
      <c r="S25" s="27">
        <v>200.0</v>
      </c>
      <c r="T25" s="29">
        <v>210.0</v>
      </c>
      <c r="U25" s="30"/>
      <c r="V25" s="30"/>
      <c r="W25" s="30"/>
      <c r="X25" s="30"/>
      <c r="Y25" s="30"/>
      <c r="Z25" s="30"/>
      <c r="AA25" s="30"/>
      <c r="AB25" s="30"/>
      <c r="AC25" s="30"/>
      <c r="AR25" s="31" t="s">
        <v>108</v>
      </c>
    </row>
    <row r="26" ht="21.75" customHeight="1">
      <c r="A26" s="44" t="s">
        <v>72</v>
      </c>
      <c r="B26" s="33" t="s">
        <v>109</v>
      </c>
      <c r="C26" s="34" t="s">
        <v>110</v>
      </c>
      <c r="D26" s="35" t="s">
        <v>111</v>
      </c>
      <c r="E26" s="36">
        <v>140.0</v>
      </c>
      <c r="F26" s="37">
        <v>300.0</v>
      </c>
      <c r="G26" s="38">
        <v>1.1429</v>
      </c>
      <c r="H26" s="23" t="s">
        <v>112</v>
      </c>
      <c r="I26" s="23" t="s">
        <v>112</v>
      </c>
      <c r="J26" s="47">
        <v>250.0</v>
      </c>
      <c r="K26" s="23">
        <v>280.0</v>
      </c>
      <c r="L26" s="39">
        <v>305.0</v>
      </c>
      <c r="M26" s="23">
        <v>280.0</v>
      </c>
      <c r="N26" s="23">
        <v>300.0</v>
      </c>
      <c r="O26" s="23">
        <v>320.0</v>
      </c>
      <c r="P26" s="39">
        <v>280.0</v>
      </c>
      <c r="Q26" s="26">
        <v>290.0</v>
      </c>
      <c r="R26" s="27">
        <v>295.0</v>
      </c>
      <c r="S26" s="27">
        <v>305.0</v>
      </c>
      <c r="T26" s="29">
        <v>320.0</v>
      </c>
      <c r="U26" s="30"/>
      <c r="V26" s="30"/>
      <c r="W26" s="30"/>
      <c r="X26" s="30"/>
      <c r="Y26" s="30"/>
      <c r="Z26" s="30"/>
      <c r="AA26" s="30"/>
      <c r="AB26" s="30"/>
      <c r="AC26" s="30"/>
      <c r="AR26" s="31" t="s">
        <v>113</v>
      </c>
    </row>
    <row r="27" ht="21.75" customHeight="1">
      <c r="A27" s="48" t="s">
        <v>114</v>
      </c>
      <c r="B27" s="17" t="s">
        <v>115</v>
      </c>
      <c r="C27" s="18" t="s">
        <v>114</v>
      </c>
      <c r="D27" s="19" t="s">
        <v>116</v>
      </c>
      <c r="E27" s="20">
        <v>150.0</v>
      </c>
      <c r="F27" s="21">
        <v>230.0</v>
      </c>
      <c r="G27" s="22">
        <v>0.5333</v>
      </c>
      <c r="H27" s="23" t="s">
        <v>112</v>
      </c>
      <c r="I27" s="23" t="s">
        <v>112</v>
      </c>
      <c r="J27" s="23" t="s">
        <v>112</v>
      </c>
      <c r="K27" s="23" t="s">
        <v>112</v>
      </c>
      <c r="L27" s="23" t="s">
        <v>112</v>
      </c>
      <c r="M27" s="23" t="s">
        <v>112</v>
      </c>
      <c r="N27" s="23">
        <v>250.0</v>
      </c>
      <c r="O27" s="23">
        <v>210.0</v>
      </c>
      <c r="P27" s="39">
        <v>200.0</v>
      </c>
      <c r="Q27" s="26">
        <v>240.0</v>
      </c>
      <c r="R27" s="27">
        <v>250.0</v>
      </c>
      <c r="S27" s="27">
        <v>240.0</v>
      </c>
      <c r="T27" s="29">
        <v>250.0</v>
      </c>
      <c r="U27" s="30"/>
      <c r="V27" s="30"/>
      <c r="W27" s="30"/>
      <c r="X27" s="30"/>
      <c r="Y27" s="30"/>
      <c r="Z27" s="30"/>
      <c r="AA27" s="30"/>
      <c r="AB27" s="30"/>
      <c r="AC27" s="30"/>
      <c r="AR27" s="31" t="s">
        <v>117</v>
      </c>
    </row>
    <row r="28" ht="21.75" customHeight="1">
      <c r="A28" s="49" t="s">
        <v>114</v>
      </c>
      <c r="B28" s="33" t="s">
        <v>118</v>
      </c>
      <c r="C28" s="34" t="s">
        <v>119</v>
      </c>
      <c r="D28" s="35" t="s">
        <v>120</v>
      </c>
      <c r="E28" s="36">
        <v>150.0</v>
      </c>
      <c r="F28" s="37">
        <v>220.0</v>
      </c>
      <c r="G28" s="38">
        <v>0.4667</v>
      </c>
      <c r="H28" s="23" t="s">
        <v>112</v>
      </c>
      <c r="I28" s="23" t="s">
        <v>112</v>
      </c>
      <c r="J28" s="23" t="s">
        <v>112</v>
      </c>
      <c r="K28" s="23" t="s">
        <v>112</v>
      </c>
      <c r="L28" s="23" t="s">
        <v>112</v>
      </c>
      <c r="M28" s="23" t="s">
        <v>112</v>
      </c>
      <c r="N28" s="23" t="s">
        <v>112</v>
      </c>
      <c r="O28" s="23" t="s">
        <v>112</v>
      </c>
      <c r="P28" s="39">
        <v>210.0</v>
      </c>
      <c r="Q28" s="26">
        <v>230.0</v>
      </c>
      <c r="R28" s="27">
        <v>230.0</v>
      </c>
      <c r="S28" s="27">
        <v>250.0</v>
      </c>
      <c r="T28" s="29">
        <v>230.0</v>
      </c>
      <c r="U28" s="30"/>
      <c r="V28" s="30"/>
      <c r="W28" s="30"/>
      <c r="X28" s="30"/>
      <c r="Y28" s="30"/>
      <c r="Z28" s="30"/>
      <c r="AA28" s="30"/>
      <c r="AB28" s="30"/>
      <c r="AC28" s="30"/>
      <c r="AR28" s="31" t="s">
        <v>121</v>
      </c>
    </row>
    <row r="29" ht="21.75" customHeight="1">
      <c r="A29" s="48" t="s">
        <v>114</v>
      </c>
      <c r="B29" s="17" t="s">
        <v>122</v>
      </c>
      <c r="C29" s="18" t="s">
        <v>123</v>
      </c>
      <c r="D29" s="19" t="s">
        <v>124</v>
      </c>
      <c r="E29" s="20">
        <v>150.0</v>
      </c>
      <c r="F29" s="21">
        <v>150.0</v>
      </c>
      <c r="G29" s="22">
        <v>0.0</v>
      </c>
      <c r="H29" s="23" t="s">
        <v>112</v>
      </c>
      <c r="I29" s="23" t="s">
        <v>112</v>
      </c>
      <c r="J29" s="23" t="s">
        <v>112</v>
      </c>
      <c r="K29" s="23" t="s">
        <v>112</v>
      </c>
      <c r="L29" s="23" t="s">
        <v>112</v>
      </c>
      <c r="M29" s="23" t="s">
        <v>112</v>
      </c>
      <c r="N29" s="23" t="s">
        <v>112</v>
      </c>
      <c r="O29" s="23" t="s">
        <v>112</v>
      </c>
      <c r="P29" s="39" t="s">
        <v>112</v>
      </c>
      <c r="Q29" s="26" t="s">
        <v>112</v>
      </c>
      <c r="R29" s="39" t="s">
        <v>112</v>
      </c>
      <c r="S29" s="39" t="s">
        <v>112</v>
      </c>
      <c r="T29" s="29">
        <v>210.0</v>
      </c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0" t="s">
        <v>125</v>
      </c>
      <c r="AA34" s="50" t="s">
        <v>126</v>
      </c>
      <c r="AB34" s="50" t="s">
        <v>127</v>
      </c>
      <c r="AC34" s="50" t="s">
        <v>128</v>
      </c>
      <c r="AD34" s="50" t="s">
        <v>129</v>
      </c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1" t="s">
        <v>130</v>
      </c>
      <c r="AA35" s="50" t="s">
        <v>131</v>
      </c>
      <c r="AB35" s="52">
        <v>210.0</v>
      </c>
      <c r="AC35" s="50" t="s">
        <v>132</v>
      </c>
      <c r="AD35" s="53"/>
    </row>
    <row r="36" ht="15.75" customHeight="1">
      <c r="A36" s="4"/>
      <c r="B36" s="4"/>
      <c r="C36" s="4"/>
      <c r="D36" s="4"/>
      <c r="E36" s="4"/>
      <c r="F36" s="4"/>
      <c r="G36" s="4"/>
      <c r="H36" s="50" t="s">
        <v>125</v>
      </c>
      <c r="I36" s="50" t="s">
        <v>133</v>
      </c>
      <c r="J36" s="50" t="s">
        <v>134</v>
      </c>
      <c r="K36" s="50" t="s">
        <v>135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1" t="s">
        <v>136</v>
      </c>
      <c r="AA36" s="50" t="s">
        <v>78</v>
      </c>
      <c r="AB36" s="52">
        <v>220.0</v>
      </c>
      <c r="AC36" s="51" t="s">
        <v>137</v>
      </c>
      <c r="AD36" s="53"/>
    </row>
    <row r="37" ht="15.75" customHeight="1">
      <c r="A37" s="4"/>
      <c r="B37" s="4"/>
      <c r="C37" s="4"/>
      <c r="D37" s="4"/>
      <c r="E37" s="4"/>
      <c r="F37" s="4"/>
      <c r="G37" s="4"/>
      <c r="H37" s="51" t="s">
        <v>138</v>
      </c>
      <c r="I37" s="54">
        <v>700.0</v>
      </c>
      <c r="J37" s="51" t="s">
        <v>139</v>
      </c>
      <c r="K37" s="55">
        <f>+57 %</f>
        <v>0.57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1" t="s">
        <v>140</v>
      </c>
      <c r="AA37" s="50" t="s">
        <v>82</v>
      </c>
      <c r="AB37" s="52">
        <v>350.0</v>
      </c>
      <c r="AC37" s="51" t="s">
        <v>141</v>
      </c>
      <c r="AD37" s="53"/>
    </row>
    <row r="38" ht="15.75" customHeight="1">
      <c r="A38" s="4"/>
      <c r="B38" s="4"/>
      <c r="C38" s="4"/>
      <c r="D38" s="4"/>
      <c r="E38" s="4"/>
      <c r="F38" s="4"/>
      <c r="G38" s="4"/>
      <c r="H38" s="51" t="s">
        <v>142</v>
      </c>
      <c r="I38" s="54">
        <v>440.0</v>
      </c>
      <c r="J38" s="52">
        <v>500.0</v>
      </c>
      <c r="K38" s="55">
        <f>+14 %</f>
        <v>0.14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1" t="s">
        <v>143</v>
      </c>
      <c r="AA38" s="50" t="s">
        <v>86</v>
      </c>
      <c r="AB38" s="51" t="s">
        <v>144</v>
      </c>
      <c r="AC38" s="50" t="s">
        <v>145</v>
      </c>
      <c r="AD38" s="53"/>
    </row>
    <row r="39" ht="15.75" customHeight="1">
      <c r="A39" s="4"/>
      <c r="B39" s="4"/>
      <c r="C39" s="4"/>
      <c r="D39" s="4"/>
      <c r="E39" s="4"/>
      <c r="F39" s="4"/>
      <c r="G39" s="4"/>
      <c r="H39" s="51" t="s">
        <v>146</v>
      </c>
      <c r="I39" s="54">
        <v>600.0</v>
      </c>
      <c r="J39" s="51" t="s">
        <v>147</v>
      </c>
      <c r="K39" s="56" t="str">
        <f>+233 % 🚀</f>
        <v>#ERROR!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1" t="s">
        <v>148</v>
      </c>
      <c r="AA39" s="50" t="s">
        <v>90</v>
      </c>
      <c r="AB39" s="52">
        <v>230.0</v>
      </c>
      <c r="AC39" s="50" t="s">
        <v>149</v>
      </c>
      <c r="AD39" s="53"/>
    </row>
    <row r="40" ht="15.75" customHeight="1">
      <c r="A40" s="4"/>
      <c r="B40" s="4"/>
      <c r="C40" s="4"/>
      <c r="D40" s="4"/>
      <c r="E40" s="4"/>
      <c r="F40" s="4"/>
      <c r="G40" s="4"/>
      <c r="H40" s="51" t="s">
        <v>150</v>
      </c>
      <c r="I40" s="54">
        <v>310.0</v>
      </c>
      <c r="J40" s="52">
        <v>450.0</v>
      </c>
      <c r="K40" s="55">
        <f>+45 %</f>
        <v>0.45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1" t="s">
        <v>151</v>
      </c>
      <c r="AA40" s="50" t="s">
        <v>94</v>
      </c>
      <c r="AB40" s="52">
        <v>200.0</v>
      </c>
      <c r="AC40" s="50" t="s">
        <v>152</v>
      </c>
      <c r="AD40" s="53"/>
    </row>
    <row r="41" ht="15.75" customHeight="1">
      <c r="A41" s="4"/>
      <c r="B41" s="4"/>
      <c r="C41" s="4"/>
      <c r="D41" s="4"/>
      <c r="E41" s="4"/>
      <c r="F41" s="4"/>
      <c r="G41" s="4"/>
      <c r="H41" s="51" t="s">
        <v>153</v>
      </c>
      <c r="I41" s="54">
        <v>900.0</v>
      </c>
      <c r="J41" s="51" t="s">
        <v>154</v>
      </c>
      <c r="K41" s="55">
        <f>+67 %</f>
        <v>0.67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1" t="s">
        <v>155</v>
      </c>
      <c r="AA41" s="50" t="s">
        <v>98</v>
      </c>
      <c r="AB41" s="52">
        <v>200.0</v>
      </c>
      <c r="AC41" s="50" t="s">
        <v>156</v>
      </c>
      <c r="AD41" s="53"/>
    </row>
    <row r="42" ht="15.75" customHeight="1">
      <c r="A42" s="4"/>
      <c r="B42" s="4"/>
      <c r="C42" s="4"/>
      <c r="D42" s="4"/>
      <c r="E42" s="4"/>
      <c r="F42" s="4"/>
      <c r="G42" s="4"/>
      <c r="H42" s="51" t="s">
        <v>157</v>
      </c>
      <c r="I42" s="54">
        <v>150.0</v>
      </c>
      <c r="J42" s="52">
        <v>220.0</v>
      </c>
      <c r="K42" s="55">
        <f>+47 %</f>
        <v>0.47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1" t="s">
        <v>158</v>
      </c>
      <c r="AA42" s="50" t="s">
        <v>102</v>
      </c>
      <c r="AB42" s="52">
        <v>240.0</v>
      </c>
      <c r="AC42" s="51" t="s">
        <v>159</v>
      </c>
      <c r="AD42" s="53"/>
    </row>
    <row r="43" ht="15.75" customHeight="1">
      <c r="A43" s="4"/>
      <c r="B43" s="4"/>
      <c r="C43" s="4"/>
      <c r="D43" s="4"/>
      <c r="E43" s="4"/>
      <c r="F43" s="4"/>
      <c r="G43" s="4"/>
      <c r="H43" s="51" t="s">
        <v>160</v>
      </c>
      <c r="I43" s="54">
        <v>100.0</v>
      </c>
      <c r="J43" s="52">
        <v>330.0</v>
      </c>
      <c r="K43" s="55">
        <f>+230 %</f>
        <v>2.3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1" t="s">
        <v>161</v>
      </c>
      <c r="AA43" s="50" t="s">
        <v>162</v>
      </c>
      <c r="AB43" s="52">
        <v>240.0</v>
      </c>
      <c r="AC43" s="50" t="s">
        <v>163</v>
      </c>
      <c r="AD43" s="53"/>
    </row>
    <row r="44" ht="15.75" customHeight="1">
      <c r="A44" s="4"/>
      <c r="B44" s="4"/>
      <c r="C44" s="4"/>
      <c r="D44" s="4"/>
      <c r="E44" s="4"/>
      <c r="F44" s="4"/>
      <c r="G44" s="4"/>
      <c r="H44" s="51" t="s">
        <v>164</v>
      </c>
      <c r="I44" s="54">
        <v>90.0</v>
      </c>
      <c r="J44" s="52">
        <v>180.0</v>
      </c>
      <c r="K44" s="55">
        <f>+100 %</f>
        <v>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1" t="s">
        <v>109</v>
      </c>
      <c r="AA44" s="50" t="s">
        <v>110</v>
      </c>
      <c r="AB44" s="52">
        <v>250.0</v>
      </c>
      <c r="AC44" s="50" t="s">
        <v>165</v>
      </c>
      <c r="AD44" s="53"/>
    </row>
    <row r="45" ht="15.75" customHeight="1">
      <c r="A45" s="4"/>
      <c r="B45" s="4"/>
      <c r="C45" s="4"/>
      <c r="D45" s="4"/>
      <c r="E45" s="4"/>
      <c r="F45" s="4"/>
      <c r="G45" s="4"/>
      <c r="H45" s="51" t="s">
        <v>166</v>
      </c>
      <c r="I45" s="54">
        <v>230.0</v>
      </c>
      <c r="J45" s="52">
        <v>360.0</v>
      </c>
      <c r="K45" s="55">
        <f>+57 %</f>
        <v>0.57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51" t="s">
        <v>167</v>
      </c>
      <c r="I46" s="54">
        <v>250.0</v>
      </c>
      <c r="J46" s="52">
        <v>360.0</v>
      </c>
      <c r="K46" s="55">
        <f>+44 %</f>
        <v>0.44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51" t="s">
        <v>168</v>
      </c>
      <c r="I47" s="54">
        <v>95.0</v>
      </c>
      <c r="J47" s="52">
        <v>285.0</v>
      </c>
      <c r="K47" s="56" t="str">
        <f>+200 % 🚀</f>
        <v>#ERROR!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51" t="s">
        <v>169</v>
      </c>
      <c r="I48" s="54">
        <v>150.0</v>
      </c>
      <c r="J48" s="52">
        <v>195.0</v>
      </c>
      <c r="K48" s="55">
        <f>+30 %</f>
        <v>0.3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51" t="s">
        <v>170</v>
      </c>
      <c r="I49" s="54">
        <v>100.0</v>
      </c>
      <c r="J49" s="52">
        <v>200.0</v>
      </c>
      <c r="K49" s="55">
        <f>+100 %</f>
        <v>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51" t="s">
        <v>171</v>
      </c>
      <c r="I50" s="54">
        <v>65.0</v>
      </c>
      <c r="J50" s="52">
        <v>120.0</v>
      </c>
      <c r="K50" s="55">
        <f>+85 %</f>
        <v>0.85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E50" s="50" t="s">
        <v>3</v>
      </c>
      <c r="AF50" s="50" t="s">
        <v>126</v>
      </c>
      <c r="AG50" s="50" t="s">
        <v>172</v>
      </c>
      <c r="AH50" s="50" t="s">
        <v>173</v>
      </c>
      <c r="AI50" s="50" t="s">
        <v>174</v>
      </c>
      <c r="AJ50" s="50" t="s">
        <v>175</v>
      </c>
    </row>
    <row r="51" ht="15.75" customHeight="1">
      <c r="A51" s="4"/>
      <c r="B51" s="4"/>
      <c r="C51" s="4"/>
      <c r="D51" s="4"/>
      <c r="E51" s="4"/>
      <c r="F51" s="4"/>
      <c r="G51" s="4"/>
      <c r="H51" s="51" t="s">
        <v>176</v>
      </c>
      <c r="I51" s="54">
        <v>115.0</v>
      </c>
      <c r="J51" s="52">
        <v>290.0</v>
      </c>
      <c r="K51" s="55">
        <f>+152 %</f>
        <v>1.52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50" t="s">
        <v>3</v>
      </c>
      <c r="W51" s="50" t="s">
        <v>126</v>
      </c>
      <c r="X51" s="50" t="s">
        <v>177</v>
      </c>
      <c r="Y51" s="50" t="s">
        <v>178</v>
      </c>
      <c r="Z51" s="50" t="s">
        <v>179</v>
      </c>
      <c r="AA51" s="50" t="s">
        <v>180</v>
      </c>
      <c r="AE51" s="51" t="s">
        <v>68</v>
      </c>
      <c r="AF51" s="50" t="s">
        <v>69</v>
      </c>
      <c r="AG51" s="57">
        <v>44876.0</v>
      </c>
      <c r="AH51" s="50" t="s">
        <v>181</v>
      </c>
      <c r="AI51" s="52">
        <v>300.0</v>
      </c>
      <c r="AJ51" s="50">
        <v>1.17</v>
      </c>
    </row>
    <row r="52" ht="15.75" customHeight="1">
      <c r="A52" s="4"/>
      <c r="B52" s="4"/>
      <c r="C52" s="4"/>
      <c r="D52" s="4"/>
      <c r="E52" s="4"/>
      <c r="F52" s="4"/>
      <c r="G52" s="4"/>
      <c r="H52" s="51" t="s">
        <v>182</v>
      </c>
      <c r="I52" s="54">
        <v>110.0</v>
      </c>
      <c r="J52" s="52">
        <v>185.0</v>
      </c>
      <c r="K52" s="55">
        <f>+68 %</f>
        <v>0.68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51" t="s">
        <v>130</v>
      </c>
      <c r="W52" s="50" t="s">
        <v>131</v>
      </c>
      <c r="X52" s="58">
        <v>210.0</v>
      </c>
      <c r="Y52" s="59">
        <v>211.0</v>
      </c>
      <c r="Z52" s="50" t="s">
        <v>183</v>
      </c>
      <c r="AA52" s="50" t="s">
        <v>184</v>
      </c>
      <c r="AE52" s="51" t="s">
        <v>64</v>
      </c>
      <c r="AF52" s="50" t="s">
        <v>65</v>
      </c>
      <c r="AG52" s="60">
        <v>44813.0</v>
      </c>
      <c r="AH52" s="50" t="s">
        <v>185</v>
      </c>
      <c r="AI52" s="52">
        <v>340.0</v>
      </c>
      <c r="AJ52" s="51">
        <v>1.76</v>
      </c>
    </row>
    <row r="53" ht="15.75" customHeight="1">
      <c r="A53" s="4"/>
      <c r="B53" s="4"/>
      <c r="C53" s="4"/>
      <c r="D53" s="4"/>
      <c r="E53" s="4"/>
      <c r="F53" s="4"/>
      <c r="G53" s="4"/>
      <c r="H53" s="51" t="s">
        <v>186</v>
      </c>
      <c r="I53" s="54">
        <v>110.0</v>
      </c>
      <c r="J53" s="52">
        <v>220.0</v>
      </c>
      <c r="K53" s="55">
        <f>+100 %</f>
        <v>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51" t="s">
        <v>136</v>
      </c>
      <c r="W53" s="50" t="s">
        <v>78</v>
      </c>
      <c r="X53" s="58">
        <v>220.0</v>
      </c>
      <c r="Y53" s="59">
        <v>230.0</v>
      </c>
      <c r="Z53" s="50" t="s">
        <v>187</v>
      </c>
      <c r="AA53" s="50" t="s">
        <v>188</v>
      </c>
      <c r="AE53" s="51" t="s">
        <v>60</v>
      </c>
      <c r="AF53" s="50" t="s">
        <v>61</v>
      </c>
      <c r="AG53" s="60">
        <v>44708.0</v>
      </c>
      <c r="AH53" s="50" t="s">
        <v>189</v>
      </c>
      <c r="AI53" s="52">
        <v>300.0</v>
      </c>
      <c r="AJ53" s="50">
        <v>0.33</v>
      </c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1" t="s">
        <v>140</v>
      </c>
      <c r="W54" s="50" t="s">
        <v>82</v>
      </c>
      <c r="X54" s="58">
        <v>350.0</v>
      </c>
      <c r="Y54" s="59">
        <v>300.0</v>
      </c>
      <c r="Z54" s="50" t="s">
        <v>190</v>
      </c>
      <c r="AA54" s="50" t="s">
        <v>191</v>
      </c>
      <c r="AE54" s="51" t="s">
        <v>56</v>
      </c>
      <c r="AF54" s="50" t="s">
        <v>57</v>
      </c>
      <c r="AG54" s="60">
        <v>44617.0</v>
      </c>
      <c r="AH54" s="50" t="s">
        <v>192</v>
      </c>
      <c r="AI54" s="52">
        <v>390.0</v>
      </c>
      <c r="AJ54" s="50">
        <v>0.51</v>
      </c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1" t="s">
        <v>143</v>
      </c>
      <c r="W55" s="50" t="s">
        <v>86</v>
      </c>
      <c r="X55" s="58">
        <v>225.0</v>
      </c>
      <c r="Y55" s="59">
        <v>320.0</v>
      </c>
      <c r="Z55" s="50" t="s">
        <v>193</v>
      </c>
      <c r="AA55" s="51" t="s">
        <v>194</v>
      </c>
      <c r="AE55" s="51" t="s">
        <v>52</v>
      </c>
      <c r="AF55" s="50" t="s">
        <v>53</v>
      </c>
      <c r="AG55" s="57">
        <v>44512.0</v>
      </c>
      <c r="AH55" s="50" t="s">
        <v>195</v>
      </c>
      <c r="AI55" s="52">
        <v>500.0</v>
      </c>
      <c r="AJ55" s="50">
        <v>0.8</v>
      </c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1" t="s">
        <v>148</v>
      </c>
      <c r="W56" s="50" t="s">
        <v>90</v>
      </c>
      <c r="X56" s="58">
        <v>230.0</v>
      </c>
      <c r="Y56" s="59">
        <v>235.0</v>
      </c>
      <c r="Z56" s="50" t="s">
        <v>183</v>
      </c>
      <c r="AA56" s="50" t="s">
        <v>196</v>
      </c>
      <c r="AE56" s="51" t="s">
        <v>48</v>
      </c>
      <c r="AF56" s="50" t="s">
        <v>49</v>
      </c>
      <c r="AG56" s="60">
        <v>44435.0</v>
      </c>
      <c r="AH56" s="50" t="s">
        <v>197</v>
      </c>
      <c r="AI56" s="51" t="s">
        <v>198</v>
      </c>
      <c r="AJ56" s="50">
        <v>1.0</v>
      </c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1" t="s">
        <v>151</v>
      </c>
      <c r="W57" s="50" t="s">
        <v>94</v>
      </c>
      <c r="X57" s="58">
        <v>200.0</v>
      </c>
      <c r="Y57" s="59">
        <v>225.0</v>
      </c>
      <c r="Z57" s="50" t="s">
        <v>199</v>
      </c>
      <c r="AA57" s="50" t="s">
        <v>200</v>
      </c>
      <c r="AE57" s="51" t="s">
        <v>44</v>
      </c>
      <c r="AF57" s="50" t="s">
        <v>201</v>
      </c>
      <c r="AG57" s="60">
        <v>44365.0</v>
      </c>
      <c r="AH57" s="50" t="s">
        <v>202</v>
      </c>
      <c r="AI57" s="52">
        <v>400.0</v>
      </c>
      <c r="AJ57" s="50">
        <v>0.93</v>
      </c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1" t="s">
        <v>155</v>
      </c>
      <c r="W58" s="50" t="s">
        <v>98</v>
      </c>
      <c r="X58" s="58">
        <v>200.0</v>
      </c>
      <c r="Y58" s="59">
        <v>230.0</v>
      </c>
      <c r="Z58" s="50" t="s">
        <v>203</v>
      </c>
      <c r="AA58" s="50" t="s">
        <v>204</v>
      </c>
      <c r="AE58" s="51" t="s">
        <v>40</v>
      </c>
      <c r="AF58" s="50" t="s">
        <v>205</v>
      </c>
      <c r="AG58" s="60">
        <v>44274.0</v>
      </c>
      <c r="AH58" s="50" t="s">
        <v>206</v>
      </c>
      <c r="AI58" s="52">
        <v>550.0</v>
      </c>
      <c r="AJ58" s="50">
        <v>0.24</v>
      </c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1" t="s">
        <v>158</v>
      </c>
      <c r="W59" s="50" t="s">
        <v>102</v>
      </c>
      <c r="X59" s="58">
        <v>240.0</v>
      </c>
      <c r="Y59" s="59">
        <v>247.0</v>
      </c>
      <c r="Z59" s="50" t="s">
        <v>183</v>
      </c>
      <c r="AA59" s="51" t="s">
        <v>207</v>
      </c>
      <c r="AE59" s="51" t="s">
        <v>36</v>
      </c>
      <c r="AF59" s="50" t="s">
        <v>37</v>
      </c>
      <c r="AG59" s="57">
        <v>44148.0</v>
      </c>
      <c r="AH59" s="50" t="s">
        <v>208</v>
      </c>
      <c r="AI59" s="51" t="s">
        <v>209</v>
      </c>
      <c r="AJ59" s="50">
        <v>0.25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1" t="s">
        <v>161</v>
      </c>
      <c r="W60" s="50" t="s">
        <v>162</v>
      </c>
      <c r="X60" s="58">
        <v>240.0</v>
      </c>
      <c r="Y60" s="59">
        <v>219.0</v>
      </c>
      <c r="Z60" s="50" t="s">
        <v>210</v>
      </c>
      <c r="AA60" s="50" t="s">
        <v>211</v>
      </c>
      <c r="AE60" s="51" t="s">
        <v>32</v>
      </c>
      <c r="AF60" s="50" t="s">
        <v>33</v>
      </c>
      <c r="AG60" s="60">
        <v>44057.0</v>
      </c>
      <c r="AH60" s="50" t="s">
        <v>212</v>
      </c>
      <c r="AI60" s="51" t="s">
        <v>213</v>
      </c>
      <c r="AJ60" s="50">
        <v>0.03</v>
      </c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1" t="s">
        <v>109</v>
      </c>
      <c r="W61" s="50" t="s">
        <v>110</v>
      </c>
      <c r="X61" s="58">
        <v>250.0</v>
      </c>
      <c r="Y61" s="59">
        <v>308.0</v>
      </c>
      <c r="Z61" s="50" t="s">
        <v>214</v>
      </c>
      <c r="AA61" s="51" t="s">
        <v>215</v>
      </c>
      <c r="AE61" s="51" t="s">
        <v>28</v>
      </c>
      <c r="AF61" s="50" t="s">
        <v>29</v>
      </c>
      <c r="AG61" s="60">
        <v>43952.0</v>
      </c>
      <c r="AH61" s="50" t="s">
        <v>216</v>
      </c>
      <c r="AI61" s="51" t="s">
        <v>217</v>
      </c>
      <c r="AJ61" s="50">
        <v>0.02</v>
      </c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E62" s="51" t="s">
        <v>23</v>
      </c>
      <c r="AF62" s="50" t="s">
        <v>138</v>
      </c>
      <c r="AG62" s="60">
        <v>43868.0</v>
      </c>
      <c r="AH62" s="50" t="s">
        <v>218</v>
      </c>
      <c r="AI62" s="51" t="s">
        <v>219</v>
      </c>
      <c r="AJ62" s="50">
        <v>0.06</v>
      </c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4:$G$4"/>
  <mergeCells count="2">
    <mergeCell ref="A1:S1"/>
    <mergeCell ref="A2:S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2026-02-26T17:41:16Z</dcterms:created>
  <dc:creator>openpyxl</dc:creator>
</cp:coreProperties>
</file>